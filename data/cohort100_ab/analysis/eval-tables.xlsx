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finitions" sheetId="2" state="visible" r:id="rId2"/>
    <sheet name="Arm results" sheetId="3" state="visible" r:id="rId3"/>
    <sheet name="Paired" sheetId="4" state="visible" r:id="rId4"/>
    <sheet name="Templates" sheetId="5" state="visible" r:id="rId5"/>
    <sheet name="Estimates" sheetId="6" state="visible" r:id="rId6"/>
    <sheet name="C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x"/>
    <numFmt numFmtId="166" formatCode="$0.0000"/>
    <numFmt numFmtId="167" formatCode="0.000"/>
    <numFmt numFmtId="168" formatCode="0.0%"/>
    <numFmt numFmtId="169" formatCode="$#,##0.00"/>
    <numFmt numFmtId="170" formatCode="$#,##0.00;($#,##0.00);-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5" fontId="5" fillId="0" borderId="0" pivotButton="0" quotePrefix="0" xfId="0"/>
    <xf numFmtId="2" fontId="3" fillId="0" borderId="0" pivotButton="0" quotePrefix="0" xfId="0"/>
    <xf numFmtId="166" fontId="5" fillId="0" borderId="0" pivotButton="0" quotePrefix="0" xfId="0"/>
    <xf numFmtId="0" fontId="5" fillId="0" borderId="0" pivotButton="0" quotePrefix="0" xfId="0"/>
    <xf numFmtId="2" fontId="2" fillId="0" borderId="0" pivotButton="0" quotePrefix="0" xfId="0"/>
    <xf numFmtId="167" fontId="5" fillId="0" borderId="0" pivotButton="0" quotePrefix="0" xfId="0"/>
    <xf numFmtId="165" fontId="3" fillId="0" borderId="0" pivotButton="0" quotePrefix="0" xfId="0"/>
    <xf numFmtId="9" fontId="2" fillId="0" borderId="0" pivotButton="0" quotePrefix="0" xfId="0"/>
    <xf numFmtId="167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0" fontId="2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8" fontId="3" fillId="0" borderId="0" applyAlignment="1" pivotButton="0" quotePrefix="0" xfId="0">
      <alignment vertical="top"/>
    </xf>
    <xf numFmtId="168" fontId="5" fillId="0" borderId="0" applyAlignment="1" pivotButton="0" quotePrefix="0" xfId="0">
      <alignment vertical="top"/>
    </xf>
    <xf numFmtId="2" fontId="3" fillId="0" borderId="0" applyAlignment="1" pivotButton="0" quotePrefix="0" xfId="0">
      <alignment vertical="top"/>
    </xf>
    <xf numFmtId="2" fontId="5" fillId="0" borderId="0" applyAlignment="1" pivotButton="0" quotePrefix="0" xfId="0">
      <alignment vertical="top"/>
    </xf>
    <xf numFmtId="1" fontId="3" fillId="0" borderId="0" applyAlignment="1" pivotButton="0" quotePrefix="0" xfId="0">
      <alignment vertical="top"/>
    </xf>
    <xf numFmtId="1" fontId="5" fillId="0" borderId="0" applyAlignment="1" pivotButton="0" quotePrefix="0" xfId="0">
      <alignment vertical="top"/>
    </xf>
    <xf numFmtId="169" fontId="5" fillId="0" borderId="0" pivotButton="0" quotePrefix="0" xfId="0"/>
    <xf numFmtId="170" fontId="2" fillId="0" borderId="0" pivotButton="0" quotePrefix="0" xfId="0"/>
    <xf numFmtId="11" fontId="3" fillId="0" borderId="0" pivotButton="0" quotePrefix="0" xfId="0"/>
    <xf numFmtId="169" fontId="2" fillId="0" borderId="0" pivotButton="0" quotePrefix="0" xfId="0"/>
    <xf numFmtId="16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cohort100-ab — FINAL results (both batches)</t>
        </is>
      </c>
    </row>
    <row r="2">
      <c r="A2" s="2" t="inlineStr"/>
    </row>
    <row r="3">
      <c r="A3" s="3" t="inlineStr">
        <is>
          <t>Status: FINAL. Pre-registered analysis (section 10 step 7) on both batches: eval-b1 + eval-b2 = 100 tasks, T_dec from dec-1. Supersedes eval-b1-interim-tables.xlsx (D3).</t>
        </is>
      </c>
    </row>
    <row r="4">
      <c r="A4" s="2" t="inlineStr"/>
    </row>
    <row r="5">
      <c r="A5" s="2" t="inlineStr">
        <is>
          <t>Design: 100 tasks, each run under BOTH configs (B0-Sequential, A1-Parallel) back to back = 200 arm results.</t>
        </is>
      </c>
    </row>
    <row r="6">
      <c r="A6" s="2" t="inlineStr">
        <is>
          <t>'Arm results' has one row per task x arm (200 rows). 'Paired' has one row per task (100 rows): speedups and other B0-vs-A1 comparisons need both arms, so they live there, computed by formula from 'Arm results'.</t>
        </is>
      </c>
    </row>
    <row r="7">
      <c r="A7" s="2" t="inlineStr">
        <is>
          <t>Arms that did not succeed: easy2_17 A1. Per prereg §8 such a task counts for completion and accuracy but not for speedup (n = 99 tasks in S).</t>
        </is>
      </c>
    </row>
    <row r="8">
      <c r="A8" s="2" t="inlineStr"/>
    </row>
    <row r="9">
      <c r="A9" s="2" t="inlineStr">
        <is>
          <t>Colour key: blue = value taken from run records or the analysis JSON (hardcoded, source noted); black = formula within the sheet; green = formula referencing another sheet.</t>
        </is>
      </c>
    </row>
    <row r="10">
      <c r="A10" s="2" t="inlineStr">
        <is>
          <t>The Estimates sheet reports the pre-registered script's numbers; 'Workbook check' recomputes point estimates with formulas and should agree. Bootstrap CIs cannot be formulas and come from the script.</t>
        </is>
      </c>
    </row>
    <row r="11">
      <c r="A11" s="2" t="inlineStr"/>
    </row>
    <row r="12">
      <c r="A12" s="3" t="inlineStr">
        <is>
          <t>Provenance</t>
        </is>
      </c>
    </row>
    <row r="13">
      <c r="A13" s="2" t="inlineStr">
        <is>
          <t>Run eval-b1: rows.jsonl sha256 e84d60036a36982f…, grades.json sha256 1392c8203e0fa056… (upstream LongCoT verifier)</t>
        </is>
      </c>
    </row>
    <row r="14">
      <c r="A14" s="2" t="inlineStr">
        <is>
          <t>Run eval-b2: rows.jsonl sha256 0cfba210f1bdd8dd…, grades.json sha256 df64bf0acea1e8a4… (upstream LongCoT verifier)</t>
        </is>
      </c>
    </row>
    <row r="15">
      <c r="A15" s="2" t="inlineStr">
        <is>
          <t>T_dec dec-1: rows.jsonl sha256 2de482d7a468450a…</t>
        </is>
      </c>
    </row>
    <row r="16">
      <c r="A16" s="2" t="inlineStr">
        <is>
          <t>Analysis JSON sha256 b65c7c7a5deb39f6…</t>
        </is>
      </c>
    </row>
    <row r="17">
      <c r="A17" s="2" t="inlineStr">
        <is>
          <t>Pre-registration: docs/cohort100_ab_preregistration_2026-09-26.md (approved c636359; deviations D1-D5 in 72f8862, 8e88d3d, 58e16f6)</t>
        </is>
      </c>
    </row>
    <row r="18">
      <c r="A18" s="2" t="inlineStr">
        <is>
          <t>Frozen code: asl.py 2c701786…, metrics.py 96371c47…, cohort100_ab_run.py 539a0457…, node_worker.py 3e963d4f… (match pilot-2)</t>
        </is>
      </c>
    </row>
    <row r="19">
      <c r="A19" s="2" t="inlineStr">
        <is>
          <t>Model openai/gpt-5.2 via OpenRouter, provider OpenAI only, reasoning effort low, max_tokens 16384. Lambda python3.13 arm64 512 MB, us-east-1.</t>
        </is>
      </c>
    </row>
    <row r="20">
      <c r="A20" s="2" t="inlineStr">
        <is>
          <t>Built by data/cohort100_ab/analysis/build_eval_xlsx.py. Column definitions: Definitions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 ht="45" customHeight="1">
      <c r="A1" s="4" t="inlineStr">
        <is>
          <t>Sheet</t>
        </is>
      </c>
      <c r="B1" s="4" t="inlineStr">
        <is>
          <t>Column</t>
        </is>
      </c>
      <c r="C1" s="4" t="inlineStr">
        <is>
          <t>Definition</t>
        </is>
      </c>
    </row>
    <row r="2">
      <c r="A2" s="2" t="inlineStr">
        <is>
          <t>All</t>
        </is>
      </c>
      <c r="B2" s="3" t="inlineStr">
        <is>
          <t>(design)</t>
        </is>
      </c>
      <c r="C2" s="2" t="inlineStr">
        <is>
          <t>100 tasks in two seeded batches of 50; every task ran under BOTH configs (B0-Sequential and A1-Parallel), back to back: 200 arm results, 910 subtasks per arm, 1824 model calls in total (retries included). Speedups are paired within a task.</t>
        </is>
      </c>
    </row>
    <row r="3">
      <c r="A3" s="2" t="inlineStr">
        <is>
          <t>All</t>
        </is>
      </c>
      <c r="B3" s="3" t="inlineStr">
        <is>
          <t>B0 / A1</t>
        </is>
      </c>
      <c r="C3" s="2" t="inlineStr">
        <is>
          <t>B0-Sequential: one Step Functions task per subtask, chained in a fixed topological order. A1-Parallel: every subtask starts at once and waits for its own predecessors, then calls the model. Same functions, prompts, model and settings.</t>
        </is>
      </c>
    </row>
    <row r="4">
      <c r="A4" s="2" t="inlineStr">
        <is>
          <t>Arm results</t>
        </is>
      </c>
      <c r="B4" s="3" t="inlineStr">
        <is>
          <t>Batch</t>
        </is>
      </c>
      <c r="C4" s="2" t="inlineStr">
        <is>
          <t>1 = eval-b1, 2 = eval-b2.</t>
        </is>
      </c>
    </row>
    <row r="5">
      <c r="A5" s="2" t="inlineStr">
        <is>
          <t>Arm results</t>
        </is>
      </c>
      <c r="B5" s="3" t="inlineStr">
        <is>
          <t>Pos</t>
        </is>
      </c>
      <c r="C5" s="2" t="inlineStr">
        <is>
          <t>The task's run order within its batch (seeded, 1-50); shared by its two arm rows.</t>
        </is>
      </c>
    </row>
    <row r="6">
      <c r="A6" s="2" t="inlineStr">
        <is>
          <t>Arm results</t>
        </is>
      </c>
      <c r="B6" s="3" t="inlineStr">
        <is>
          <t>Task</t>
        </is>
      </c>
      <c r="C6" s="2" t="inlineStr">
        <is>
          <t>LongCoT task ID (last component).</t>
        </is>
      </c>
    </row>
    <row r="7">
      <c r="A7" s="2" t="inlineStr">
        <is>
          <t>Arm results</t>
        </is>
      </c>
      <c r="B7" s="3" t="inlineStr">
        <is>
          <t>Arm</t>
        </is>
      </c>
      <c r="C7" s="2" t="inlineStr">
        <is>
          <t>Config for this row: B0 (sequential) or A1 (parallel).</t>
        </is>
      </c>
    </row>
    <row r="8">
      <c r="A8" s="2" t="inlineStr">
        <is>
          <t>Arm results</t>
        </is>
      </c>
      <c r="B8" s="3" t="inlineStr">
        <is>
          <t>Ran</t>
        </is>
      </c>
      <c r="C8" s="2" t="inlineStr">
        <is>
          <t>Whether this arm ran 1st or 2nd for the task (alternates by position).</t>
        </is>
      </c>
    </row>
    <row r="9">
      <c r="A9" s="2" t="inlineStr">
        <is>
          <t>Arm results</t>
        </is>
      </c>
      <c r="B9" s="3" t="inlineStr">
        <is>
          <t>Template</t>
        </is>
      </c>
      <c r="C9" s="2" t="inlineStr">
        <is>
          <t>One of the 10 DAG shapes; the DAG is identical for every task of a template.</t>
        </is>
      </c>
    </row>
    <row r="10">
      <c r="A10" s="2" t="inlineStr">
        <is>
          <t>Arm results</t>
        </is>
      </c>
      <c r="B10" s="3" t="inlineStr">
        <is>
          <t>Difficulty</t>
        </is>
      </c>
      <c r="C10" s="2" t="inlineStr">
        <is>
          <t>LongCoT difficulty label (easy / medium / hard).</t>
        </is>
      </c>
    </row>
    <row r="11">
      <c r="A11" s="2" t="inlineStr">
        <is>
          <t>Arm results</t>
        </is>
      </c>
      <c r="B11" s="3" t="inlineStr">
        <is>
          <t>Exposed</t>
        </is>
      </c>
      <c r="C11" s="2" t="inlineStr">
        <is>
          <t>1 if the task was seen during development (all easy tasks + hard2_0).</t>
        </is>
      </c>
    </row>
    <row r="12">
      <c r="A12" s="2" t="inlineStr">
        <is>
          <t>Arm results</t>
        </is>
      </c>
      <c r="B12" s="3" t="inlineStr">
        <is>
          <t>Flagged impossible</t>
        </is>
      </c>
      <c r="C12" s="2" t="inlineStr">
        <is>
          <t>1 if the task contains an impossible conditional.</t>
        </is>
      </c>
    </row>
    <row r="13">
      <c r="A13" s="2" t="inlineStr">
        <is>
          <t>Arm results</t>
        </is>
      </c>
      <c r="B13" s="3" t="inlineStr">
        <is>
          <t>easy2 policy</t>
        </is>
      </c>
      <c r="C13" s="2" t="inlineStr">
        <is>
          <t>1 if node 4 ran under the approved easy2_no_match rule.</t>
        </is>
      </c>
    </row>
    <row r="14">
      <c r="A14" s="2" t="inlineStr">
        <is>
          <t>Arm results</t>
        </is>
      </c>
      <c r="B14" s="3" t="inlineStr">
        <is>
          <t>N / D / W</t>
        </is>
      </c>
      <c r="C14" s="2" t="inlineStr">
        <is>
          <t>Subtasks in the DAG / depth (longest chain, in nodes) / max width (most subtasks at one level).</t>
        </is>
      </c>
    </row>
    <row r="15">
      <c r="A15" s="2" t="inlineStr">
        <is>
          <t>Arm results</t>
        </is>
      </c>
      <c r="B15" s="3" t="inlineStr">
        <is>
          <t>Status</t>
        </is>
      </c>
      <c r="C15" s="2" t="inlineStr">
        <is>
          <t>Step Functions execution status of this arm (SUCCEEDED or FAILED).</t>
        </is>
      </c>
    </row>
    <row r="16">
      <c r="A16" s="2" t="inlineStr">
        <is>
          <t>Arm results</t>
        </is>
      </c>
      <c r="B16" s="3" t="inlineStr">
        <is>
          <t>T_exec (s)</t>
        </is>
      </c>
      <c r="C16" s="2" t="inlineStr">
        <is>
          <t>Step Functions execution time for this arm: stopDate - startDate (time at failure for a failed arm).</t>
        </is>
      </c>
    </row>
    <row r="17">
      <c r="A17" s="2" t="inlineStr">
        <is>
          <t>Arm results</t>
        </is>
      </c>
      <c r="B17" s="3" t="inlineStr">
        <is>
          <t>Node-time sum (s)</t>
        </is>
      </c>
      <c r="C17" s="2" t="inlineStr">
        <is>
          <t>Sum over subtasks of work time in this arm (predecessor outputs read -&gt; subtask done; excludes waiting). Blank for a failed arm.</t>
        </is>
      </c>
    </row>
    <row r="18">
      <c r="A18" s="2" t="inlineStr">
        <is>
          <t>Arm results</t>
        </is>
      </c>
      <c r="B18" s="3" t="inlineStr">
        <is>
          <t>Dep. critical path (s)</t>
        </is>
      </c>
      <c r="C18" s="2" t="inlineStr">
        <is>
          <t>Longest path through the DAG, each subtask weighted by this arm's work time: the ideal parallel finish time.</t>
        </is>
      </c>
    </row>
    <row r="19">
      <c r="A19" s="2" t="inlineStr">
        <is>
          <t>Arm results</t>
        </is>
      </c>
      <c r="B19" s="3" t="inlineStr">
        <is>
          <t>Wave-barrier time (s)</t>
        </is>
      </c>
      <c r="C19" s="2" t="inlineStr">
        <is>
          <t>Same durations, but each DAG level waits for its slowest member before the next level starts.</t>
        </is>
      </c>
    </row>
    <row r="20">
      <c r="A20" s="2" t="inlineStr">
        <is>
          <t>Arm results</t>
        </is>
      </c>
      <c r="B20" s="3" t="inlineStr">
        <is>
          <t>Replay (dep.)</t>
        </is>
      </c>
      <c r="C20" s="2" t="inlineStr">
        <is>
          <t>Node-time sum / critical path: ideal speedup given this arm's durations.</t>
        </is>
      </c>
    </row>
    <row r="21">
      <c r="A21" s="2" t="inlineStr">
        <is>
          <t>Arm results</t>
        </is>
      </c>
      <c r="B21" s="3" t="inlineStr">
        <is>
          <t>Replay (wave)</t>
        </is>
      </c>
      <c r="C21" s="2" t="inlineStr">
        <is>
          <t>Node-time sum / wave-barrier time: speedup the older wave design would have reached.</t>
        </is>
      </c>
    </row>
    <row r="22">
      <c r="A22" s="2" t="inlineStr">
        <is>
          <t>Arm results</t>
        </is>
      </c>
      <c r="B22" s="3" t="inlineStr">
        <is>
          <t>Overhead (s)</t>
        </is>
      </c>
      <c r="C22" s="2" t="inlineStr">
        <is>
          <t>B0: T_exec - node-time sum (time not spent on subtask work: transitions, invocation, S3). A1: T_exec - critical path (time beyond the ideal parallel schedule).</t>
        </is>
      </c>
    </row>
    <row r="23">
      <c r="A23" s="2" t="inlineStr">
        <is>
          <t>Arm results</t>
        </is>
      </c>
      <c r="B23" s="3" t="inlineStr">
        <is>
          <t>Dependency wait (s)</t>
        </is>
      </c>
      <c r="C23" s="2" t="inlineStr">
        <is>
          <t>Lambda seconds spent waiting for predecessors, summed over subtasks. In A1 this is the polling time (billed, not wall-clock: concurrent waits add up); in B0 it is small (57.8 s over all 100 B0 results).</t>
        </is>
      </c>
    </row>
    <row r="24">
      <c r="A24" s="2" t="inlineStr">
        <is>
          <t>Arm results</t>
        </is>
      </c>
      <c r="B24" s="3" t="inlineStr">
        <is>
          <t>Cold starts</t>
        </is>
      </c>
      <c r="C24" s="2" t="inlineStr">
        <is>
          <t>Invocations that had a Lambda init phase.</t>
        </is>
      </c>
    </row>
    <row r="25">
      <c r="A25" s="2" t="inlineStr">
        <is>
          <t>Arm results</t>
        </is>
      </c>
      <c r="B25" s="3" t="inlineStr">
        <is>
          <t>Cold init (s)</t>
        </is>
      </c>
      <c r="C25" s="2" t="inlineStr">
        <is>
          <t>Summed Lambda init time (REPORT lines) of this arm's cold-started invocations.</t>
        </is>
      </c>
    </row>
    <row r="26">
      <c r="A26" s="2" t="inlineStr">
        <is>
          <t>Arm results</t>
        </is>
      </c>
      <c r="B26" s="3" t="inlineStr">
        <is>
          <t>Model calls</t>
        </is>
      </c>
      <c r="C26" s="2" t="inlineStr">
        <is>
          <t>Subtask invocations that reached the model call (one per subtask + retries).</t>
        </is>
      </c>
    </row>
    <row r="27">
      <c r="A27" s="2" t="inlineStr">
        <is>
          <t>Arm results</t>
        </is>
      </c>
      <c r="B27" s="3" t="inlineStr">
        <is>
          <t>Retries</t>
        </is>
      </c>
      <c r="C27" s="2" t="inlineStr">
        <is>
          <t>Extra model calls beyond one per subtask.</t>
        </is>
      </c>
    </row>
    <row r="28">
      <c r="A28" s="2" t="inlineStr">
        <is>
          <t>Arm results</t>
        </is>
      </c>
      <c r="B28" s="3" t="inlineStr">
        <is>
          <t>429 replies</t>
        </is>
      </c>
      <c r="C28" s="2" t="inlineStr">
        <is>
          <t>Calls answered with HTTP 429 (rate limit / admission control).</t>
        </is>
      </c>
    </row>
    <row r="29">
      <c r="A29" s="2" t="inlineStr">
        <is>
          <t>Arm results</t>
        </is>
      </c>
      <c r="B29" s="3" t="inlineStr">
        <is>
          <t>Truncated attempts</t>
        </is>
      </c>
      <c r="C29" s="2" t="inlineStr">
        <is>
          <t>Calls that stopped at max_tokens (finish_reason 'length').</t>
        </is>
      </c>
    </row>
    <row r="30">
      <c r="A30" s="2" t="inlineStr">
        <is>
          <t>Arm results</t>
        </is>
      </c>
      <c r="B30" s="3" t="inlineStr">
        <is>
          <t>Input / Output / Reasoning tok</t>
        </is>
      </c>
      <c r="C30" s="2" t="inlineStr">
        <is>
          <t>Prompt / completion / reasoning tokens over all of this arm's calls (output includes reasoning).</t>
        </is>
      </c>
    </row>
    <row r="31">
      <c r="A31" s="2" t="inlineStr">
        <is>
          <t>Arm results</t>
        </is>
      </c>
      <c r="B31" s="3" t="inlineStr">
        <is>
          <t>C_LLM ($)</t>
        </is>
      </c>
      <c r="C31" s="2" t="inlineStr">
        <is>
          <t>OpenRouter-reported cost of this arm's calls, failed calls included.</t>
        </is>
      </c>
    </row>
    <row r="32">
      <c r="A32" s="2" t="inlineStr">
        <is>
          <t>Arm results</t>
        </is>
      </c>
      <c r="B32" s="3" t="inlineStr">
        <is>
          <t>C_Lambda ($)</t>
        </is>
      </c>
      <c r="C32" s="2" t="inlineStr">
        <is>
          <t>Lambda billed duration (512 MB arm64) + request charges for this arm.</t>
        </is>
      </c>
    </row>
    <row r="33">
      <c r="A33" s="2" t="inlineStr">
        <is>
          <t>Arm results</t>
        </is>
      </c>
      <c r="B33" s="3" t="inlineStr">
        <is>
          <t>C_StepFunctions ($)</t>
        </is>
      </c>
      <c r="C33" s="2" t="inlineStr">
        <is>
          <t>State transitions x USD 0.000025.</t>
        </is>
      </c>
    </row>
    <row r="34">
      <c r="A34" s="2" t="inlineStr">
        <is>
          <t>Arm results</t>
        </is>
      </c>
      <c r="B34" s="3" t="inlineStr">
        <is>
          <t>C_Total ($)</t>
        </is>
      </c>
      <c r="C34" s="2" t="inlineStr">
        <is>
          <t>C_LLM + C_Lambda + C_StepFunctions.</t>
        </is>
      </c>
    </row>
    <row r="35">
      <c r="A35" s="2" t="inlineStr">
        <is>
          <t>Arm results</t>
        </is>
      </c>
      <c r="B35" s="3" t="inlineStr">
        <is>
          <t>Correct</t>
        </is>
      </c>
      <c r="C35" s="2" t="inlineStr">
        <is>
          <t>1 if this arm's final answer passes the upstream LongCoT verifier (0 for a failed arm).</t>
        </is>
      </c>
    </row>
    <row r="36">
      <c r="A36" s="2" t="inlineStr">
        <is>
          <t>Arm results</t>
        </is>
      </c>
      <c r="B36" s="3" t="inlineStr">
        <is>
          <t>no_match</t>
        </is>
      </c>
      <c r="C36" s="2" t="inlineStr">
        <is>
          <t>easy2 tasks only: the model's flag that no candidate met node 4's constraint. Blank if not applicable.</t>
        </is>
      </c>
    </row>
    <row r="37">
      <c r="A37" s="2" t="inlineStr">
        <is>
          <t>Paired</t>
        </is>
      </c>
      <c r="B37" s="3" t="inlineStr">
        <is>
          <t>(sheet)</t>
        </is>
      </c>
      <c r="C37" s="2" t="inlineStr">
        <is>
          <t>One row per task; values are formulas over that task's B0 and A1 rows in 'Arm results'.</t>
        </is>
      </c>
    </row>
    <row r="38">
      <c r="A38" s="2" t="inlineStr">
        <is>
          <t>Paired</t>
        </is>
      </c>
      <c r="B38" s="3" t="inlineStr">
        <is>
          <t>First arm</t>
        </is>
      </c>
      <c r="C38" s="2" t="inlineStr">
        <is>
          <t>Which config ran first for this task.</t>
        </is>
      </c>
    </row>
    <row r="39">
      <c r="A39" s="2" t="inlineStr">
        <is>
          <t>Paired</t>
        </is>
      </c>
      <c r="B39" s="3" t="inlineStr">
        <is>
          <t>Status B0, A1 / Both succeeded</t>
        </is>
      </c>
      <c r="C39" s="2" t="inlineStr">
        <is>
          <t>Each arm's status; Both succeeded = 1 when both are SUCCEEDED (the speedup set, prereg §8).</t>
        </is>
      </c>
    </row>
    <row r="40">
      <c r="A40" s="2" t="inlineStr">
        <is>
          <t>Paired</t>
        </is>
      </c>
      <c r="B40" s="3" t="inlineStr">
        <is>
          <t>T_exec B0, A1 (s)</t>
        </is>
      </c>
      <c r="C40" s="2" t="inlineStr">
        <is>
          <t>The two arms' execution times.</t>
        </is>
      </c>
    </row>
    <row r="41">
      <c r="A41" s="2" t="inlineStr">
        <is>
          <t>Paired</t>
        </is>
      </c>
      <c r="B41" s="3" t="inlineStr">
        <is>
          <t>Speedup B0/A1</t>
        </is>
      </c>
      <c r="C41" s="2" t="inlineStr">
        <is>
          <t>T_exec B0 / T_exec A1. Above 1 = parallel was faster. Blank unless both succeeded.</t>
        </is>
      </c>
    </row>
    <row r="42">
      <c r="A42" s="2" t="inlineStr">
        <is>
          <t>Paired</t>
        </is>
      </c>
      <c r="B42" s="3" t="inlineStr">
        <is>
          <t>ln speedup</t>
        </is>
      </c>
      <c r="C42" s="2" t="inlineStr">
        <is>
          <t>Natural log of the speedup; what the primary estimate averages.</t>
        </is>
      </c>
    </row>
    <row r="43">
      <c r="A43" s="2" t="inlineStr">
        <is>
          <t>Paired</t>
        </is>
      </c>
      <c r="B43" s="3" t="inlineStr">
        <is>
          <t>Latency reduction</t>
        </is>
      </c>
      <c r="C43" s="2" t="inlineStr">
        <is>
          <t>(T_B0 - T_A1) / T_B0.</t>
        </is>
      </c>
    </row>
    <row r="44">
      <c r="A44" s="2" t="inlineStr">
        <is>
          <t>Paired</t>
        </is>
      </c>
      <c r="B44" s="3" t="inlineStr">
        <is>
          <t>Cold-adjusted speedup</t>
        </is>
      </c>
      <c r="C44" s="2" t="inlineStr">
        <is>
          <t>(T_B0 - cold init B0) / (T_A1 - cold init A1).</t>
        </is>
      </c>
    </row>
    <row r="45">
      <c r="A45" s="2" t="inlineStr">
        <is>
          <t>Paired</t>
        </is>
      </c>
      <c r="B45" s="3" t="inlineStr">
        <is>
          <t>T_dec (s)</t>
        </is>
      </c>
      <c r="C45" s="2" t="inlineStr">
        <is>
          <t>Decomposition time: one planner call on the task prompt (dec-1), measured separately from both arms.</t>
        </is>
      </c>
    </row>
    <row r="46">
      <c r="A46" s="2" t="inlineStr">
        <is>
          <t>Paired</t>
        </is>
      </c>
      <c r="B46" s="3" t="inlineStr">
        <is>
          <t>DAG exact</t>
        </is>
      </c>
      <c r="C46" s="2" t="inlineStr">
        <is>
          <t>1 if the planner's returned DAG exactly equals the dataset DAG.</t>
        </is>
      </c>
    </row>
    <row r="47">
      <c r="A47" s="2" t="inlineStr">
        <is>
          <t>Paired</t>
        </is>
      </c>
      <c r="B47" s="3" t="inlineStr">
        <is>
          <t>Speedup incl. T_dec / ln</t>
        </is>
      </c>
      <c r="C47" s="2" t="inlineStr">
        <is>
          <t>(T_B0 + T_dec) / (T_A1 + T_dec) and its log (prereg §5.4).</t>
        </is>
      </c>
    </row>
    <row r="48">
      <c r="A48" s="2" t="inlineStr">
        <is>
          <t>Paired</t>
        </is>
      </c>
      <c r="B48" s="3" t="inlineStr">
        <is>
          <t>C_Total B0, A1 ($) / C_Total A1/B0</t>
        </is>
      </c>
      <c r="C48" s="2" t="inlineStr">
        <is>
          <t>Each arm's total cost and their ratio (ratio only when both succeeded).</t>
        </is>
      </c>
    </row>
    <row r="49">
      <c r="A49" s="2" t="inlineStr">
        <is>
          <t>Paired</t>
        </is>
      </c>
      <c r="B49" s="3" t="inlineStr">
        <is>
          <t>Correct B0, A1</t>
        </is>
      </c>
      <c r="C49" s="2" t="inlineStr">
        <is>
          <t>Whether each arm answered correctly.</t>
        </is>
      </c>
    </row>
    <row r="50">
      <c r="A50" s="2" t="inlineStr">
        <is>
          <t>Paired</t>
        </is>
      </c>
      <c r="B50" s="3" t="inlineStr">
        <is>
          <t>Arms disagree</t>
        </is>
      </c>
      <c r="C50" s="2" t="inlineStr">
        <is>
          <t>1 if exactly one arm got the task right.</t>
        </is>
      </c>
    </row>
    <row r="51">
      <c r="A51" s="2" t="inlineStr">
        <is>
          <t>Templates</t>
        </is>
      </c>
      <c r="B51" s="3" t="inlineStr">
        <is>
          <t>Tasks / Both arms succeeded / Completed B0, A1</t>
        </is>
      </c>
      <c r="C51" s="2" t="inlineStr">
        <is>
          <t>Tasks of this template / tasks where both arms succeeded / succeeded arms per config.</t>
        </is>
      </c>
    </row>
    <row r="52">
      <c r="A52" s="2" t="inlineStr">
        <is>
          <t>Templates</t>
        </is>
      </c>
      <c r="B52" s="3" t="inlineStr">
        <is>
          <t>N, D, W, N/D</t>
        </is>
      </c>
      <c r="C52" s="2" t="inlineStr">
        <is>
          <t>DAG shape; N/D is the node-count ideal speedup (H2 compares against it).</t>
        </is>
      </c>
    </row>
    <row r="53">
      <c r="A53" s="2" t="inlineStr">
        <is>
          <t>Templates</t>
        </is>
      </c>
      <c r="B53" s="3" t="inlineStr">
        <is>
          <t>Mean ln speedup</t>
        </is>
      </c>
      <c r="C53" s="2" t="inlineStr">
        <is>
          <t>Average of the template's per-task ln speedups (from Paired, both-succeeded tasks).</t>
        </is>
      </c>
    </row>
    <row r="54">
      <c r="A54" s="2" t="inlineStr">
        <is>
          <t>Templates</t>
        </is>
      </c>
      <c r="B54" s="3" t="inlineStr">
        <is>
          <t>S (geo-mean speedup)</t>
        </is>
      </c>
      <c r="C54" s="2" t="inlineStr">
        <is>
          <t>exp(mean ln speedup): the template's typical speedup (workbook formula).</t>
        </is>
      </c>
    </row>
    <row r="55">
      <c r="A55" s="2" t="inlineStr">
        <is>
          <t>Templates</t>
        </is>
      </c>
      <c r="B55" s="3" t="inlineStr">
        <is>
          <t>S / Replay B0 / Replay A1 / C_Total A1/B0 (script)</t>
        </is>
      </c>
      <c r="C55" s="2" t="inlineStr">
        <is>
          <t>The analysis script's geometric means for this template; S should match the formula column.</t>
        </is>
      </c>
    </row>
    <row r="56">
      <c r="A56" s="2" t="inlineStr">
        <is>
          <t>Templates</t>
        </is>
      </c>
      <c r="B56" s="3" t="inlineStr">
        <is>
          <t>Mean ln incl. T_dec / S incl. T_dec</t>
        </is>
      </c>
      <c r="C56" s="2" t="inlineStr">
        <is>
          <t>Same as S, with T_dec added to both arms.</t>
        </is>
      </c>
    </row>
    <row r="57">
      <c r="A57" s="2" t="inlineStr">
        <is>
          <t>Templates</t>
        </is>
      </c>
      <c r="B57" s="3" t="inlineStr">
        <is>
          <t>Mean T_exec B0, A1 (s)</t>
        </is>
      </c>
      <c r="C57" s="2" t="inlineStr">
        <is>
          <t>Arithmetic mean execution time per arm, succeeded arms only.</t>
        </is>
      </c>
    </row>
    <row r="58">
      <c r="A58" s="2" t="inlineStr">
        <is>
          <t>Templates</t>
        </is>
      </c>
      <c r="B58" s="3" t="inlineStr">
        <is>
          <t>Correct / Accuracy B0, A1</t>
        </is>
      </c>
      <c r="C58" s="2" t="inlineStr">
        <is>
          <t>Correct tasks and share correct (denominator = all tasks of the template).</t>
        </is>
      </c>
    </row>
    <row r="59">
      <c r="A59" s="2" t="inlineStr">
        <is>
          <t>Templates</t>
        </is>
      </c>
      <c r="B59" s="3" t="inlineStr">
        <is>
          <t>Exposed tasks / Flagged tasks</t>
        </is>
      </c>
      <c r="C59" s="2" t="inlineStr">
        <is>
          <t>Strata counts.</t>
        </is>
      </c>
    </row>
    <row r="60">
      <c r="A60" s="2" t="inlineStr">
        <is>
          <t>Templates</t>
        </is>
      </c>
      <c r="B60" s="3" t="inlineStr">
        <is>
          <t>All (row)</t>
        </is>
      </c>
      <c r="C60" s="2" t="inlineStr">
        <is>
          <t>S = exp(mean of the 10 template means) = the primary estimate; each template weighted equally.</t>
        </is>
      </c>
    </row>
    <row r="61">
      <c r="A61" s="2" t="inlineStr">
        <is>
          <t>Estimates</t>
        </is>
      </c>
      <c r="B61" s="3" t="inlineStr">
        <is>
          <t>Section</t>
        </is>
      </c>
      <c r="C61" s="2" t="inlineStr">
        <is>
          <t>Pre-registration section that defines the estimate.</t>
        </is>
      </c>
    </row>
    <row r="62">
      <c r="A62" s="2" t="inlineStr">
        <is>
          <t>Estimates</t>
        </is>
      </c>
      <c r="B62" s="3" t="inlineStr">
        <is>
          <t>Value / 95% CI low, high</t>
        </is>
      </c>
      <c r="C62" s="2" t="inlineStr">
        <is>
          <t>Script output; CIs are a stratified bootstrap (10,000 resamples within templates, percentile).</t>
        </is>
      </c>
    </row>
    <row r="63">
      <c r="A63" s="2" t="inlineStr">
        <is>
          <t>Estimates</t>
        </is>
      </c>
      <c r="B63" s="3" t="inlineStr">
        <is>
          <t>n tasks / n templates</t>
        </is>
      </c>
      <c r="C63" s="2" t="inlineStr">
        <is>
          <t>Tasks and templates the estimate used.</t>
        </is>
      </c>
    </row>
    <row r="64">
      <c r="A64" s="2" t="inlineStr">
        <is>
          <t>Estimates</t>
        </is>
      </c>
      <c r="B64" s="3" t="inlineStr">
        <is>
          <t>Workbook check</t>
        </is>
      </c>
      <c r="C64" s="2" t="inlineStr">
        <is>
          <t>The same number recomputed by formula from the other sheets; blank where no simple formula exists.</t>
        </is>
      </c>
    </row>
    <row r="65">
      <c r="A65" s="2" t="inlineStr">
        <is>
          <t>Cost</t>
        </is>
      </c>
      <c r="B65" s="3" t="inlineStr">
        <is>
          <t>B0 / A1 ($)</t>
        </is>
      </c>
      <c r="C65" s="2" t="inlineStr">
        <is>
          <t>Total of each cost component per arm over both batches (SUMIFS over 'Arm results').</t>
        </is>
      </c>
    </row>
    <row r="66">
      <c r="A66" s="2" t="inlineStr">
        <is>
          <t>Cost</t>
        </is>
      </c>
      <c r="B66" s="3" t="inlineStr">
        <is>
          <t>A1 - B0 ($)</t>
        </is>
      </c>
      <c r="C66" s="2" t="inlineStr">
        <is>
          <t>Difference between the arms.</t>
        </is>
      </c>
    </row>
    <row r="67">
      <c r="A67" s="2" t="inlineStr">
        <is>
          <t>Cost</t>
        </is>
      </c>
      <c r="B67" s="3" t="inlineStr">
        <is>
          <t>C_LLM (tokens x list price)</t>
        </is>
      </c>
      <c r="C67" s="2" t="inlineStr">
        <is>
          <t>Reconciliation: recomputed from token counts at gpt-5.2 list prices; compare with the reported C_LLM.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4" customWidth="1" min="3" max="3"/>
    <col width="6" customWidth="1" min="4" max="4"/>
    <col width="6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5" customWidth="1" min="11" max="11"/>
    <col width="5" customWidth="1" min="12" max="12"/>
    <col width="5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45" customHeight="1">
      <c r="A1" s="4" t="inlineStr">
        <is>
          <t>Batch</t>
        </is>
      </c>
      <c r="B1" s="4" t="inlineStr">
        <is>
          <t>Pos</t>
        </is>
      </c>
      <c r="C1" s="4" t="inlineStr">
        <is>
          <t>Task</t>
        </is>
      </c>
      <c r="D1" s="4" t="inlineStr">
        <is>
          <t>Arm</t>
        </is>
      </c>
      <c r="E1" s="4" t="inlineStr">
        <is>
          <t>Ran</t>
        </is>
      </c>
      <c r="F1" s="4" t="inlineStr">
        <is>
          <t>Template</t>
        </is>
      </c>
      <c r="G1" s="4" t="inlineStr">
        <is>
          <t>Difficulty</t>
        </is>
      </c>
      <c r="H1" s="4" t="inlineStr">
        <is>
          <t>Exposed</t>
        </is>
      </c>
      <c r="I1" s="4" t="inlineStr">
        <is>
          <t>Flagged impossible</t>
        </is>
      </c>
      <c r="J1" s="4" t="inlineStr">
        <is>
          <t>easy2 policy</t>
        </is>
      </c>
      <c r="K1" s="4" t="inlineStr">
        <is>
          <t>N</t>
        </is>
      </c>
      <c r="L1" s="4" t="inlineStr">
        <is>
          <t>D</t>
        </is>
      </c>
      <c r="M1" s="4" t="inlineStr">
        <is>
          <t>W</t>
        </is>
      </c>
      <c r="N1" s="4" t="inlineStr">
        <is>
          <t>Status</t>
        </is>
      </c>
      <c r="O1" s="4" t="inlineStr">
        <is>
          <t>T_exec (s)</t>
        </is>
      </c>
      <c r="P1" s="4" t="inlineStr">
        <is>
          <t>Node-time sum (s)</t>
        </is>
      </c>
      <c r="Q1" s="4" t="inlineStr">
        <is>
          <t>Dep. critical path (s)</t>
        </is>
      </c>
      <c r="R1" s="4" t="inlineStr">
        <is>
          <t>Wave-barrier time (s)</t>
        </is>
      </c>
      <c r="S1" s="4" t="inlineStr">
        <is>
          <t>Replay (dep.)</t>
        </is>
      </c>
      <c r="T1" s="4" t="inlineStr">
        <is>
          <t>Replay (wave)</t>
        </is>
      </c>
      <c r="U1" s="4" t="inlineStr">
        <is>
          <t>Overhead (s)</t>
        </is>
      </c>
      <c r="V1" s="4" t="inlineStr">
        <is>
          <t>Dependency wait (s)</t>
        </is>
      </c>
      <c r="W1" s="4" t="inlineStr">
        <is>
          <t>Cold starts</t>
        </is>
      </c>
      <c r="X1" s="4" t="inlineStr">
        <is>
          <t>Cold init (s)</t>
        </is>
      </c>
      <c r="Y1" s="4" t="inlineStr">
        <is>
          <t>Model calls</t>
        </is>
      </c>
      <c r="Z1" s="4" t="inlineStr">
        <is>
          <t>Retries</t>
        </is>
      </c>
      <c r="AA1" s="4" t="inlineStr">
        <is>
          <t>429 replies</t>
        </is>
      </c>
      <c r="AB1" s="4" t="inlineStr">
        <is>
          <t>Truncated attempts</t>
        </is>
      </c>
      <c r="AC1" s="4" t="inlineStr">
        <is>
          <t>Input tok</t>
        </is>
      </c>
      <c r="AD1" s="4" t="inlineStr">
        <is>
          <t>Output tok</t>
        </is>
      </c>
      <c r="AE1" s="4" t="inlineStr">
        <is>
          <t>Reasoning tok</t>
        </is>
      </c>
      <c r="AF1" s="4" t="inlineStr">
        <is>
          <t>C_LLM ($)</t>
        </is>
      </c>
      <c r="AG1" s="4" t="inlineStr">
        <is>
          <t>C_Lambda ($)</t>
        </is>
      </c>
      <c r="AH1" s="4" t="inlineStr">
        <is>
          <t>C_StepFunctions ($)</t>
        </is>
      </c>
      <c r="AI1" s="4" t="inlineStr">
        <is>
          <t>C_Total ($)</t>
        </is>
      </c>
      <c r="AJ1" s="4" t="inlineStr">
        <is>
          <t>Correct</t>
        </is>
      </c>
      <c r="AK1" s="4" t="inlineStr">
        <is>
          <t>no_match</t>
        </is>
      </c>
    </row>
    <row r="2">
      <c r="A2" s="5" t="n">
        <v>1</v>
      </c>
      <c r="B2" s="5" t="n">
        <v>1</v>
      </c>
      <c r="C2" s="5" t="inlineStr">
        <is>
          <t>easy1_49</t>
        </is>
      </c>
      <c r="D2" s="5" t="inlineStr">
        <is>
          <t>B0</t>
        </is>
      </c>
      <c r="E2" s="5" t="inlineStr">
        <is>
          <t>1st</t>
        </is>
      </c>
      <c r="F2" s="5" t="inlineStr">
        <is>
          <t>easy1</t>
        </is>
      </c>
      <c r="G2" s="5" t="inlineStr">
        <is>
          <t>easy</t>
        </is>
      </c>
      <c r="H2" s="6" t="n">
        <v>1</v>
      </c>
      <c r="I2" s="6" t="n">
        <v>0</v>
      </c>
      <c r="J2" s="6" t="n">
        <v>0</v>
      </c>
      <c r="K2" s="6" t="n">
        <v>5</v>
      </c>
      <c r="L2" s="6" t="n">
        <v>4</v>
      </c>
      <c r="M2" s="6" t="n">
        <v>2</v>
      </c>
      <c r="N2" s="6" t="inlineStr">
        <is>
          <t>SUCCEEDED</t>
        </is>
      </c>
      <c r="O2" s="7" t="n">
        <v>59.429</v>
      </c>
      <c r="P2" s="7" t="n">
        <v>58.03982782363892</v>
      </c>
      <c r="Q2" s="7" t="n">
        <v>42.63372349739075</v>
      </c>
      <c r="R2" s="7" t="n">
        <v>53.58795309066772</v>
      </c>
      <c r="S2" s="8">
        <f>IF(N2="SUCCEEDED",P2/Q2,"")</f>
        <v/>
      </c>
      <c r="T2" s="8">
        <f>IF(N2="SUCCEEDED",P2/R2,"")</f>
        <v/>
      </c>
      <c r="U2" s="9">
        <f>IF(N2="SUCCEEDED",IF(D2="B0",O2-P2,O2-Q2),"")</f>
        <v/>
      </c>
      <c r="V2" s="7" t="n">
        <v>0.2297501564025879</v>
      </c>
      <c r="W2" s="6" t="n">
        <v>0</v>
      </c>
      <c r="X2" s="7" t="n">
        <v>0</v>
      </c>
      <c r="Y2" s="6" t="n">
        <v>5</v>
      </c>
      <c r="Z2" s="6" t="n">
        <v>0</v>
      </c>
      <c r="AA2" s="6" t="n">
        <v>0</v>
      </c>
      <c r="AB2" s="6" t="n">
        <v>0</v>
      </c>
      <c r="AC2" s="10" t="n">
        <v>2109</v>
      </c>
      <c r="AD2" s="10" t="n">
        <v>4101</v>
      </c>
      <c r="AE2" s="10" t="n">
        <v>3893</v>
      </c>
      <c r="AF2" s="11" t="n">
        <v>0.06110475</v>
      </c>
      <c r="AG2" s="11" t="n">
        <v>0.0003932086277</v>
      </c>
      <c r="AH2" s="11" t="n">
        <v>0.000125</v>
      </c>
      <c r="AI2" s="12">
        <f>AF2+AG2+AH2</f>
        <v/>
      </c>
      <c r="AJ2" s="6" t="n">
        <v>1</v>
      </c>
      <c r="AK2" s="6" t="inlineStr"/>
    </row>
    <row r="3">
      <c r="A3" s="5" t="n">
        <v>1</v>
      </c>
      <c r="B3" s="5" t="n">
        <v>1</v>
      </c>
      <c r="C3" s="5" t="inlineStr">
        <is>
          <t>easy1_49</t>
        </is>
      </c>
      <c r="D3" s="5" t="inlineStr">
        <is>
          <t>A1</t>
        </is>
      </c>
      <c r="E3" s="5" t="inlineStr">
        <is>
          <t>2nd</t>
        </is>
      </c>
      <c r="F3" s="5" t="inlineStr">
        <is>
          <t>easy1</t>
        </is>
      </c>
      <c r="G3" s="5" t="inlineStr">
        <is>
          <t>easy</t>
        </is>
      </c>
      <c r="H3" s="6" t="n">
        <v>1</v>
      </c>
      <c r="I3" s="6" t="n">
        <v>0</v>
      </c>
      <c r="J3" s="6" t="n">
        <v>0</v>
      </c>
      <c r="K3" s="6" t="n">
        <v>5</v>
      </c>
      <c r="L3" s="6" t="n">
        <v>4</v>
      </c>
      <c r="M3" s="6" t="n">
        <v>2</v>
      </c>
      <c r="N3" s="6" t="inlineStr">
        <is>
          <t>SUCCEEDED</t>
        </is>
      </c>
      <c r="O3" s="7" t="n">
        <v>36.708</v>
      </c>
      <c r="P3" s="7" t="n">
        <v>52.12632584571838</v>
      </c>
      <c r="Q3" s="7" t="n">
        <v>36.23980164527893</v>
      </c>
      <c r="R3" s="7" t="n">
        <v>48.06845545768738</v>
      </c>
      <c r="S3" s="8">
        <f>IF(N3="SUCCEEDED",P3/Q3,"")</f>
        <v/>
      </c>
      <c r="T3" s="8">
        <f>IF(N3="SUCCEEDED",P3/R3,"")</f>
        <v/>
      </c>
      <c r="U3" s="9">
        <f>IF(N3="SUCCEEDED",IF(D3="B0",O3-P3,O3-Q3),"")</f>
        <v/>
      </c>
      <c r="V3" s="7" t="n">
        <v>41.26380038261414</v>
      </c>
      <c r="W3" s="6" t="n">
        <v>0</v>
      </c>
      <c r="X3" s="7" t="n">
        <v>0</v>
      </c>
      <c r="Y3" s="6" t="n">
        <v>5</v>
      </c>
      <c r="Z3" s="6" t="n">
        <v>0</v>
      </c>
      <c r="AA3" s="6" t="n">
        <v>0</v>
      </c>
      <c r="AB3" s="6" t="n">
        <v>0</v>
      </c>
      <c r="AC3" s="10" t="n">
        <v>2109</v>
      </c>
      <c r="AD3" s="10" t="n">
        <v>3198</v>
      </c>
      <c r="AE3" s="10" t="n">
        <v>2990</v>
      </c>
      <c r="AF3" s="11" t="n">
        <v>0.04846275</v>
      </c>
      <c r="AG3" s="11" t="n">
        <v>0.0006266897951000001</v>
      </c>
      <c r="AH3" s="11" t="n">
        <v>0.00015</v>
      </c>
      <c r="AI3" s="12">
        <f>AF3+AG3+AH3</f>
        <v/>
      </c>
      <c r="AJ3" s="6" t="n">
        <v>1</v>
      </c>
      <c r="AK3" s="6" t="inlineStr"/>
    </row>
    <row r="4">
      <c r="A4" s="5" t="n">
        <v>1</v>
      </c>
      <c r="B4" s="5" t="n">
        <v>2</v>
      </c>
      <c r="C4" s="5" t="inlineStr">
        <is>
          <t>med1_37</t>
        </is>
      </c>
      <c r="D4" s="5" t="inlineStr">
        <is>
          <t>A1</t>
        </is>
      </c>
      <c r="E4" s="5" t="inlineStr">
        <is>
          <t>1st</t>
        </is>
      </c>
      <c r="F4" s="5" t="inlineStr">
        <is>
          <t>med1</t>
        </is>
      </c>
      <c r="G4" s="5" t="inlineStr">
        <is>
          <t>medium</t>
        </is>
      </c>
      <c r="H4" s="6" t="n">
        <v>0</v>
      </c>
      <c r="I4" s="6" t="n">
        <v>0</v>
      </c>
      <c r="J4" s="6" t="n">
        <v>0</v>
      </c>
      <c r="K4" s="6" t="n">
        <v>9</v>
      </c>
      <c r="L4" s="6" t="n">
        <v>4</v>
      </c>
      <c r="M4" s="6" t="n">
        <v>5</v>
      </c>
      <c r="N4" s="6" t="inlineStr">
        <is>
          <t>SUCCEEDED</t>
        </is>
      </c>
      <c r="O4" s="7" t="n">
        <v>122.114</v>
      </c>
      <c r="P4" s="7" t="n">
        <v>197.7354431152344</v>
      </c>
      <c r="Q4" s="7" t="n">
        <v>121.3939616680145</v>
      </c>
      <c r="R4" s="7" t="n">
        <v>152.9136281013489</v>
      </c>
      <c r="S4" s="8">
        <f>IF(N4="SUCCEEDED",P4/Q4,"")</f>
        <v/>
      </c>
      <c r="T4" s="8">
        <f>IF(N4="SUCCEEDED",P4/R4,"")</f>
        <v/>
      </c>
      <c r="U4" s="9">
        <f>IF(N4="SUCCEEDED",IF(D4="B0",O4-P4,O4-Q4),"")</f>
        <v/>
      </c>
      <c r="V4" s="7" t="n">
        <v>113.3926818370819</v>
      </c>
      <c r="W4" s="6" t="n">
        <v>0</v>
      </c>
      <c r="X4" s="7" t="n">
        <v>0</v>
      </c>
      <c r="Y4" s="6" t="n">
        <v>9</v>
      </c>
      <c r="Z4" s="6" t="n">
        <v>0</v>
      </c>
      <c r="AA4" s="6" t="n">
        <v>0</v>
      </c>
      <c r="AB4" s="6" t="n">
        <v>0</v>
      </c>
      <c r="AC4" s="10" t="n">
        <v>3774</v>
      </c>
      <c r="AD4" s="10" t="n">
        <v>13615</v>
      </c>
      <c r="AE4" s="10" t="n">
        <v>13310</v>
      </c>
      <c r="AF4" s="11" t="n">
        <v>0.1972145</v>
      </c>
      <c r="AG4" s="11" t="n">
        <v>0.0020827504047</v>
      </c>
      <c r="AH4" s="11" t="n">
        <v>0.00025</v>
      </c>
      <c r="AI4" s="12">
        <f>AF4+AG4+AH4</f>
        <v/>
      </c>
      <c r="AJ4" s="6" t="n">
        <v>0</v>
      </c>
      <c r="AK4" s="6" t="inlineStr"/>
    </row>
    <row r="5">
      <c r="A5" s="5" t="n">
        <v>1</v>
      </c>
      <c r="B5" s="5" t="n">
        <v>2</v>
      </c>
      <c r="C5" s="5" t="inlineStr">
        <is>
          <t>med1_37</t>
        </is>
      </c>
      <c r="D5" s="5" t="inlineStr">
        <is>
          <t>B0</t>
        </is>
      </c>
      <c r="E5" s="5" t="inlineStr">
        <is>
          <t>2nd</t>
        </is>
      </c>
      <c r="F5" s="5" t="inlineStr">
        <is>
          <t>med1</t>
        </is>
      </c>
      <c r="G5" s="5" t="inlineStr">
        <is>
          <t>medium</t>
        </is>
      </c>
      <c r="H5" s="6" t="n">
        <v>0</v>
      </c>
      <c r="I5" s="6" t="n">
        <v>0</v>
      </c>
      <c r="J5" s="6" t="n">
        <v>0</v>
      </c>
      <c r="K5" s="6" t="n">
        <v>9</v>
      </c>
      <c r="L5" s="6" t="n">
        <v>4</v>
      </c>
      <c r="M5" s="6" t="n">
        <v>5</v>
      </c>
      <c r="N5" s="6" t="inlineStr">
        <is>
          <t>SUCCEEDED</t>
        </is>
      </c>
      <c r="O5" s="7" t="n">
        <v>182.917</v>
      </c>
      <c r="P5" s="7" t="n">
        <v>180.3053925037384</v>
      </c>
      <c r="Q5" s="7" t="n">
        <v>102.9244160652161</v>
      </c>
      <c r="R5" s="7" t="n">
        <v>129.7843046188354</v>
      </c>
      <c r="S5" s="8">
        <f>IF(N5="SUCCEEDED",P5/Q5,"")</f>
        <v/>
      </c>
      <c r="T5" s="8">
        <f>IF(N5="SUCCEEDED",P5/R5,"")</f>
        <v/>
      </c>
      <c r="U5" s="9">
        <f>IF(N5="SUCCEEDED",IF(D5="B0",O5-P5,O5-Q5),"")</f>
        <v/>
      </c>
      <c r="V5" s="7" t="n">
        <v>0.4632997512817383</v>
      </c>
      <c r="W5" s="6" t="n">
        <v>0</v>
      </c>
      <c r="X5" s="7" t="n">
        <v>0</v>
      </c>
      <c r="Y5" s="6" t="n">
        <v>9</v>
      </c>
      <c r="Z5" s="6" t="n">
        <v>0</v>
      </c>
      <c r="AA5" s="6" t="n">
        <v>0</v>
      </c>
      <c r="AB5" s="6" t="n">
        <v>0</v>
      </c>
      <c r="AC5" s="10" t="n">
        <v>3763</v>
      </c>
      <c r="AD5" s="10" t="n">
        <v>12336</v>
      </c>
      <c r="AE5" s="10" t="n">
        <v>12033</v>
      </c>
      <c r="AF5" s="11" t="n">
        <v>0.17928925</v>
      </c>
      <c r="AG5" s="11" t="n">
        <v>0.0012141327283</v>
      </c>
      <c r="AH5" s="11" t="n">
        <v>0.000225</v>
      </c>
      <c r="AI5" s="12">
        <f>AF5+AG5+AH5</f>
        <v/>
      </c>
      <c r="AJ5" s="6" t="n">
        <v>0</v>
      </c>
      <c r="AK5" s="6" t="inlineStr"/>
    </row>
    <row r="6">
      <c r="A6" s="5" t="n">
        <v>1</v>
      </c>
      <c r="B6" s="5" t="n">
        <v>3</v>
      </c>
      <c r="C6" s="5" t="inlineStr">
        <is>
          <t>easy1_12</t>
        </is>
      </c>
      <c r="D6" s="5" t="inlineStr">
        <is>
          <t>B0</t>
        </is>
      </c>
      <c r="E6" s="5" t="inlineStr">
        <is>
          <t>1st</t>
        </is>
      </c>
      <c r="F6" s="5" t="inlineStr">
        <is>
          <t>easy1</t>
        </is>
      </c>
      <c r="G6" s="5" t="inlineStr">
        <is>
          <t>easy</t>
        </is>
      </c>
      <c r="H6" s="6" t="n">
        <v>1</v>
      </c>
      <c r="I6" s="6" t="n">
        <v>0</v>
      </c>
      <c r="J6" s="6" t="n">
        <v>0</v>
      </c>
      <c r="K6" s="6" t="n">
        <v>5</v>
      </c>
      <c r="L6" s="6" t="n">
        <v>4</v>
      </c>
      <c r="M6" s="6" t="n">
        <v>2</v>
      </c>
      <c r="N6" s="6" t="inlineStr">
        <is>
          <t>SUCCEEDED</t>
        </is>
      </c>
      <c r="O6" s="7" t="n">
        <v>100.044</v>
      </c>
      <c r="P6" s="7" t="n">
        <v>98.63646054267883</v>
      </c>
      <c r="Q6" s="7" t="n">
        <v>70.92794513702393</v>
      </c>
      <c r="R6" s="7" t="n">
        <v>89.03845739364624</v>
      </c>
      <c r="S6" s="8">
        <f>IF(N6="SUCCEEDED",P6/Q6,"")</f>
        <v/>
      </c>
      <c r="T6" s="8">
        <f>IF(N6="SUCCEEDED",P6/R6,"")</f>
        <v/>
      </c>
      <c r="U6" s="9">
        <f>IF(N6="SUCCEEDED",IF(D6="B0",O6-P6,O6-Q6),"")</f>
        <v/>
      </c>
      <c r="V6" s="7" t="n">
        <v>0.2392120361328125</v>
      </c>
      <c r="W6" s="6" t="n">
        <v>0</v>
      </c>
      <c r="X6" s="7" t="n">
        <v>0</v>
      </c>
      <c r="Y6" s="6" t="n">
        <v>5</v>
      </c>
      <c r="Z6" s="6" t="n">
        <v>0</v>
      </c>
      <c r="AA6" s="6" t="n">
        <v>0</v>
      </c>
      <c r="AB6" s="6" t="n">
        <v>0</v>
      </c>
      <c r="AC6" s="10" t="n">
        <v>2228</v>
      </c>
      <c r="AD6" s="10" t="n">
        <v>7183</v>
      </c>
      <c r="AE6" s="10" t="n">
        <v>6930</v>
      </c>
      <c r="AF6" s="11" t="n">
        <v>0.104461</v>
      </c>
      <c r="AG6" s="11" t="n">
        <v>0.0006638633143000001</v>
      </c>
      <c r="AH6" s="11" t="n">
        <v>0.000125</v>
      </c>
      <c r="AI6" s="12">
        <f>AF6+AG6+AH6</f>
        <v/>
      </c>
      <c r="AJ6" s="6" t="n">
        <v>0</v>
      </c>
      <c r="AK6" s="6" t="inlineStr"/>
    </row>
    <row r="7">
      <c r="A7" s="5" t="n">
        <v>1</v>
      </c>
      <c r="B7" s="5" t="n">
        <v>3</v>
      </c>
      <c r="C7" s="5" t="inlineStr">
        <is>
          <t>easy1_12</t>
        </is>
      </c>
      <c r="D7" s="5" t="inlineStr">
        <is>
          <t>A1</t>
        </is>
      </c>
      <c r="E7" s="5" t="inlineStr">
        <is>
          <t>2nd</t>
        </is>
      </c>
      <c r="F7" s="5" t="inlineStr">
        <is>
          <t>easy1</t>
        </is>
      </c>
      <c r="G7" s="5" t="inlineStr">
        <is>
          <t>easy</t>
        </is>
      </c>
      <c r="H7" s="6" t="n">
        <v>1</v>
      </c>
      <c r="I7" s="6" t="n">
        <v>0</v>
      </c>
      <c r="J7" s="6" t="n">
        <v>0</v>
      </c>
      <c r="K7" s="6" t="n">
        <v>5</v>
      </c>
      <c r="L7" s="6" t="n">
        <v>4</v>
      </c>
      <c r="M7" s="6" t="n">
        <v>2</v>
      </c>
      <c r="N7" s="6" t="inlineStr">
        <is>
          <t>SUCCEEDED</t>
        </is>
      </c>
      <c r="O7" s="7" t="n">
        <v>99.218</v>
      </c>
      <c r="P7" s="7" t="n">
        <v>128.7450203895569</v>
      </c>
      <c r="Q7" s="7" t="n">
        <v>98.24072241783142</v>
      </c>
      <c r="R7" s="7" t="n">
        <v>121.0156002044678</v>
      </c>
      <c r="S7" s="8">
        <f>IF(N7="SUCCEEDED",P7/Q7,"")</f>
        <v/>
      </c>
      <c r="T7" s="8">
        <f>IF(N7="SUCCEEDED",P7/R7,"")</f>
        <v/>
      </c>
      <c r="U7" s="9">
        <f>IF(N7="SUCCEEDED",IF(D7="B0",O7-P7,O7-Q7),"")</f>
        <v/>
      </c>
      <c r="V7" s="7" t="n">
        <v>65.09066462516785</v>
      </c>
      <c r="W7" s="6" t="n">
        <v>0</v>
      </c>
      <c r="X7" s="7" t="n">
        <v>0</v>
      </c>
      <c r="Y7" s="6" t="n">
        <v>5</v>
      </c>
      <c r="Z7" s="6" t="n">
        <v>0</v>
      </c>
      <c r="AA7" s="6" t="n">
        <v>0</v>
      </c>
      <c r="AB7" s="6" t="n">
        <v>0</v>
      </c>
      <c r="AC7" s="10" t="n">
        <v>2218</v>
      </c>
      <c r="AD7" s="10" t="n">
        <v>8320</v>
      </c>
      <c r="AE7" s="10" t="n">
        <v>8067</v>
      </c>
      <c r="AF7" s="11" t="n">
        <v>0.1203615</v>
      </c>
      <c r="AG7" s="11" t="n">
        <v>0.001296873146</v>
      </c>
      <c r="AH7" s="11" t="n">
        <v>0.00015</v>
      </c>
      <c r="AI7" s="12">
        <f>AF7+AG7+AH7</f>
        <v/>
      </c>
      <c r="AJ7" s="6" t="n">
        <v>0</v>
      </c>
      <c r="AK7" s="6" t="inlineStr"/>
    </row>
    <row r="8">
      <c r="A8" s="5" t="n">
        <v>1</v>
      </c>
      <c r="B8" s="5" t="n">
        <v>4</v>
      </c>
      <c r="C8" s="5" t="inlineStr">
        <is>
          <t>easy2_26</t>
        </is>
      </c>
      <c r="D8" s="5" t="inlineStr">
        <is>
          <t>A1</t>
        </is>
      </c>
      <c r="E8" s="5" t="inlineStr">
        <is>
          <t>1st</t>
        </is>
      </c>
      <c r="F8" s="5" t="inlineStr">
        <is>
          <t>easy2</t>
        </is>
      </c>
      <c r="G8" s="5" t="inlineStr">
        <is>
          <t>easy</t>
        </is>
      </c>
      <c r="H8" s="6" t="n">
        <v>1</v>
      </c>
      <c r="I8" s="6" t="n">
        <v>0</v>
      </c>
      <c r="J8" s="6" t="n">
        <v>1</v>
      </c>
      <c r="K8" s="6" t="n">
        <v>5</v>
      </c>
      <c r="L8" s="6" t="n">
        <v>4</v>
      </c>
      <c r="M8" s="6" t="n">
        <v>2</v>
      </c>
      <c r="N8" s="6" t="inlineStr">
        <is>
          <t>SUCCEEDED</t>
        </is>
      </c>
      <c r="O8" s="7" t="n">
        <v>115.797</v>
      </c>
      <c r="P8" s="7" t="n">
        <v>121.1705350875854</v>
      </c>
      <c r="Q8" s="7" t="n">
        <v>114.727020740509</v>
      </c>
      <c r="R8" s="7" t="n">
        <v>114.727020740509</v>
      </c>
      <c r="S8" s="8">
        <f>IF(N8="SUCCEEDED",P8/Q8,"")</f>
        <v/>
      </c>
      <c r="T8" s="8">
        <f>IF(N8="SUCCEEDED",P8/R8,"")</f>
        <v/>
      </c>
      <c r="U8" s="9">
        <f>IF(N8="SUCCEEDED",IF(D8="B0",O8-P8,O8-Q8),"")</f>
        <v/>
      </c>
      <c r="V8" s="7" t="n">
        <v>200.6790959835052</v>
      </c>
      <c r="W8" s="6" t="n">
        <v>0</v>
      </c>
      <c r="X8" s="7" t="n">
        <v>0</v>
      </c>
      <c r="Y8" s="6" t="n">
        <v>5</v>
      </c>
      <c r="Z8" s="6" t="n">
        <v>0</v>
      </c>
      <c r="AA8" s="6" t="n">
        <v>0</v>
      </c>
      <c r="AB8" s="6" t="n">
        <v>0</v>
      </c>
      <c r="AC8" s="10" t="n">
        <v>3398</v>
      </c>
      <c r="AD8" s="10" t="n">
        <v>7219</v>
      </c>
      <c r="AE8" s="10" t="n">
        <v>5918</v>
      </c>
      <c r="AF8" s="11" t="n">
        <v>0.1070125</v>
      </c>
      <c r="AG8" s="11" t="n">
        <v>0.0021502374128</v>
      </c>
      <c r="AH8" s="11" t="n">
        <v>0.00015</v>
      </c>
      <c r="AI8" s="12">
        <f>AF8+AG8+AH8</f>
        <v/>
      </c>
      <c r="AJ8" s="6" t="n">
        <v>0</v>
      </c>
      <c r="AK8" s="6" t="inlineStr">
        <is>
          <t>no</t>
        </is>
      </c>
    </row>
    <row r="9">
      <c r="A9" s="5" t="n">
        <v>1</v>
      </c>
      <c r="B9" s="5" t="n">
        <v>4</v>
      </c>
      <c r="C9" s="5" t="inlineStr">
        <is>
          <t>easy2_26</t>
        </is>
      </c>
      <c r="D9" s="5" t="inlineStr">
        <is>
          <t>B0</t>
        </is>
      </c>
      <c r="E9" s="5" t="inlineStr">
        <is>
          <t>2nd</t>
        </is>
      </c>
      <c r="F9" s="5" t="inlineStr">
        <is>
          <t>easy2</t>
        </is>
      </c>
      <c r="G9" s="5" t="inlineStr">
        <is>
          <t>easy</t>
        </is>
      </c>
      <c r="H9" s="6" t="n">
        <v>1</v>
      </c>
      <c r="I9" s="6" t="n">
        <v>0</v>
      </c>
      <c r="J9" s="6" t="n">
        <v>1</v>
      </c>
      <c r="K9" s="6" t="n">
        <v>5</v>
      </c>
      <c r="L9" s="6" t="n">
        <v>4</v>
      </c>
      <c r="M9" s="6" t="n">
        <v>2</v>
      </c>
      <c r="N9" s="6" t="inlineStr">
        <is>
          <t>SUCCEEDED</t>
        </is>
      </c>
      <c r="O9" s="7" t="n">
        <v>108.818</v>
      </c>
      <c r="P9" s="7" t="n">
        <v>107.3753800392151</v>
      </c>
      <c r="Q9" s="7" t="n">
        <v>101.4045355319977</v>
      </c>
      <c r="R9" s="7" t="n">
        <v>101.4045355319977</v>
      </c>
      <c r="S9" s="8">
        <f>IF(N9="SUCCEEDED",P9/Q9,"")</f>
        <v/>
      </c>
      <c r="T9" s="8">
        <f>IF(N9="SUCCEEDED",P9/R9,"")</f>
        <v/>
      </c>
      <c r="U9" s="9">
        <f>IF(N9="SUCCEEDED",IF(D9="B0",O9-P9,O9-Q9),"")</f>
        <v/>
      </c>
      <c r="V9" s="7" t="n">
        <v>0.2313110828399658</v>
      </c>
      <c r="W9" s="6" t="n">
        <v>0</v>
      </c>
      <c r="X9" s="7" t="n">
        <v>0</v>
      </c>
      <c r="Y9" s="6" t="n">
        <v>5</v>
      </c>
      <c r="Z9" s="6" t="n">
        <v>0</v>
      </c>
      <c r="AA9" s="6" t="n">
        <v>0</v>
      </c>
      <c r="AB9" s="6" t="n">
        <v>0</v>
      </c>
      <c r="AC9" s="10" t="n">
        <v>3923</v>
      </c>
      <c r="AD9" s="10" t="n">
        <v>7927</v>
      </c>
      <c r="AE9" s="10" t="n">
        <v>6097</v>
      </c>
      <c r="AF9" s="11" t="n">
        <v>0.11784325</v>
      </c>
      <c r="AG9" s="11" t="n">
        <v>0.0007220369385000001</v>
      </c>
      <c r="AH9" s="11" t="n">
        <v>0.000125</v>
      </c>
      <c r="AI9" s="12">
        <f>AF9+AG9+AH9</f>
        <v/>
      </c>
      <c r="AJ9" s="6" t="n">
        <v>0</v>
      </c>
      <c r="AK9" s="6" t="inlineStr">
        <is>
          <t>no</t>
        </is>
      </c>
    </row>
    <row r="10">
      <c r="A10" s="5" t="n">
        <v>1</v>
      </c>
      <c r="B10" s="5" t="n">
        <v>5</v>
      </c>
      <c r="C10" s="5" t="inlineStr">
        <is>
          <t>hard1_11</t>
        </is>
      </c>
      <c r="D10" s="5" t="inlineStr">
        <is>
          <t>B0</t>
        </is>
      </c>
      <c r="E10" s="5" t="inlineStr">
        <is>
          <t>1st</t>
        </is>
      </c>
      <c r="F10" s="5" t="inlineStr">
        <is>
          <t>hard1</t>
        </is>
      </c>
      <c r="G10" s="5" t="inlineStr">
        <is>
          <t>hard</t>
        </is>
      </c>
      <c r="H10" s="6" t="n">
        <v>0</v>
      </c>
      <c r="I10" s="6" t="n">
        <v>0</v>
      </c>
      <c r="J10" s="6" t="n">
        <v>0</v>
      </c>
      <c r="K10" s="6" t="n">
        <v>16</v>
      </c>
      <c r="L10" s="6" t="n">
        <v>9</v>
      </c>
      <c r="M10" s="6" t="n">
        <v>5</v>
      </c>
      <c r="N10" s="6" t="inlineStr">
        <is>
          <t>SUCCEEDED</t>
        </is>
      </c>
      <c r="O10" s="7" t="n">
        <v>433.648</v>
      </c>
      <c r="P10" s="7" t="n">
        <v>428.2873704433441</v>
      </c>
      <c r="Q10" s="7" t="n">
        <v>324.3825304508209</v>
      </c>
      <c r="R10" s="7" t="n">
        <v>367.9213254451752</v>
      </c>
      <c r="S10" s="8">
        <f>IF(N10="SUCCEEDED",P10/Q10,"")</f>
        <v/>
      </c>
      <c r="T10" s="8">
        <f>IF(N10="SUCCEEDED",P10/R10,"")</f>
        <v/>
      </c>
      <c r="U10" s="9">
        <f>IF(N10="SUCCEEDED",IF(D10="B0",O10-P10,O10-Q10),"")</f>
        <v/>
      </c>
      <c r="V10" s="7" t="n">
        <v>1.072820901870728</v>
      </c>
      <c r="W10" s="6" t="n">
        <v>1</v>
      </c>
      <c r="X10" s="7" t="n">
        <v>0.54327</v>
      </c>
      <c r="Y10" s="6" t="n">
        <v>16</v>
      </c>
      <c r="Z10" s="6" t="n">
        <v>0</v>
      </c>
      <c r="AA10" s="6" t="n">
        <v>0</v>
      </c>
      <c r="AB10" s="6" t="n">
        <v>0</v>
      </c>
      <c r="AC10" s="10" t="n">
        <v>11523</v>
      </c>
      <c r="AD10" s="10" t="n">
        <v>26771</v>
      </c>
      <c r="AE10" s="10" t="n">
        <v>25960</v>
      </c>
      <c r="AF10" s="11" t="n">
        <v>0.39495925</v>
      </c>
      <c r="AG10" s="11" t="n">
        <v>0.0028806943874</v>
      </c>
      <c r="AH10" s="11" t="n">
        <v>0.0004</v>
      </c>
      <c r="AI10" s="12">
        <f>AF10+AG10+AH10</f>
        <v/>
      </c>
      <c r="AJ10" s="6" t="n">
        <v>0</v>
      </c>
      <c r="AK10" s="6" t="inlineStr"/>
    </row>
    <row r="11">
      <c r="A11" s="5" t="n">
        <v>1</v>
      </c>
      <c r="B11" s="5" t="n">
        <v>5</v>
      </c>
      <c r="C11" s="5" t="inlineStr">
        <is>
          <t>hard1_11</t>
        </is>
      </c>
      <c r="D11" s="5" t="inlineStr">
        <is>
          <t>A1</t>
        </is>
      </c>
      <c r="E11" s="5" t="inlineStr">
        <is>
          <t>2nd</t>
        </is>
      </c>
      <c r="F11" s="5" t="inlineStr">
        <is>
          <t>hard1</t>
        </is>
      </c>
      <c r="G11" s="5" t="inlineStr">
        <is>
          <t>hard</t>
        </is>
      </c>
      <c r="H11" s="6" t="n">
        <v>0</v>
      </c>
      <c r="I11" s="6" t="n">
        <v>0</v>
      </c>
      <c r="J11" s="6" t="n">
        <v>0</v>
      </c>
      <c r="K11" s="6" t="n">
        <v>16</v>
      </c>
      <c r="L11" s="6" t="n">
        <v>9</v>
      </c>
      <c r="M11" s="6" t="n">
        <v>5</v>
      </c>
      <c r="N11" s="6" t="inlineStr">
        <is>
          <t>SUCCEEDED</t>
        </is>
      </c>
      <c r="O11" s="7" t="n">
        <v>266.311</v>
      </c>
      <c r="P11" s="7" t="n">
        <v>362.9969925880432</v>
      </c>
      <c r="Q11" s="7" t="n">
        <v>264.403290271759</v>
      </c>
      <c r="R11" s="7" t="n">
        <v>288.2879230976105</v>
      </c>
      <c r="S11" s="8">
        <f>IF(N11="SUCCEEDED",P11/Q11,"")</f>
        <v/>
      </c>
      <c r="T11" s="8">
        <f>IF(N11="SUCCEEDED",P11/R11,"")</f>
        <v/>
      </c>
      <c r="U11" s="9">
        <f>IF(N11="SUCCEEDED",IF(D11="B0",O11-P11,O11-Q11),"")</f>
        <v/>
      </c>
      <c r="V11" s="7" t="n">
        <v>967.2006874084473</v>
      </c>
      <c r="W11" s="6" t="n">
        <v>0</v>
      </c>
      <c r="X11" s="7" t="n">
        <v>0</v>
      </c>
      <c r="Y11" s="6" t="n">
        <v>16</v>
      </c>
      <c r="Z11" s="6" t="n">
        <v>0</v>
      </c>
      <c r="AA11" s="6" t="n">
        <v>0</v>
      </c>
      <c r="AB11" s="6" t="n">
        <v>0</v>
      </c>
      <c r="AC11" s="10" t="n">
        <v>11574</v>
      </c>
      <c r="AD11" s="10" t="n">
        <v>24578</v>
      </c>
      <c r="AE11" s="10" t="n">
        <v>23693</v>
      </c>
      <c r="AF11" s="11" t="n">
        <v>0.3643465</v>
      </c>
      <c r="AG11" s="11" t="n">
        <v>0.0088827377308</v>
      </c>
      <c r="AH11" s="11" t="n">
        <v>0.000425</v>
      </c>
      <c r="AI11" s="12">
        <f>AF11+AG11+AH11</f>
        <v/>
      </c>
      <c r="AJ11" s="6" t="n">
        <v>0</v>
      </c>
      <c r="AK11" s="6" t="inlineStr"/>
    </row>
    <row r="12">
      <c r="A12" s="5" t="n">
        <v>1</v>
      </c>
      <c r="B12" s="5" t="n">
        <v>6</v>
      </c>
      <c r="C12" s="5" t="inlineStr">
        <is>
          <t>easy1_11</t>
        </is>
      </c>
      <c r="D12" s="5" t="inlineStr">
        <is>
          <t>A1</t>
        </is>
      </c>
      <c r="E12" s="5" t="inlineStr">
        <is>
          <t>1st</t>
        </is>
      </c>
      <c r="F12" s="5" t="inlineStr">
        <is>
          <t>easy1</t>
        </is>
      </c>
      <c r="G12" s="5" t="inlineStr">
        <is>
          <t>easy</t>
        </is>
      </c>
      <c r="H12" s="6" t="n">
        <v>1</v>
      </c>
      <c r="I12" s="6" t="n">
        <v>0</v>
      </c>
      <c r="J12" s="6" t="n">
        <v>0</v>
      </c>
      <c r="K12" s="6" t="n">
        <v>5</v>
      </c>
      <c r="L12" s="6" t="n">
        <v>4</v>
      </c>
      <c r="M12" s="6" t="n">
        <v>2</v>
      </c>
      <c r="N12" s="6" t="inlineStr">
        <is>
          <t>SUCCEEDED</t>
        </is>
      </c>
      <c r="O12" s="7" t="n">
        <v>44.15</v>
      </c>
      <c r="P12" s="7" t="n">
        <v>51.89757800102234</v>
      </c>
      <c r="Q12" s="7" t="n">
        <v>43.17127728462219</v>
      </c>
      <c r="R12" s="7" t="n">
        <v>43.28399157524109</v>
      </c>
      <c r="S12" s="8">
        <f>IF(N12="SUCCEEDED",P12/Q12,"")</f>
        <v/>
      </c>
      <c r="T12" s="8">
        <f>IF(N12="SUCCEEDED",P12/R12,"")</f>
        <v/>
      </c>
      <c r="U12" s="9">
        <f>IF(N12="SUCCEEDED",IF(D12="B0",O12-P12,O12-Q12),"")</f>
        <v/>
      </c>
      <c r="V12" s="7" t="n">
        <v>63.28601551055908</v>
      </c>
      <c r="W12" s="6" t="n">
        <v>0</v>
      </c>
      <c r="X12" s="7" t="n">
        <v>0</v>
      </c>
      <c r="Y12" s="6" t="n">
        <v>5</v>
      </c>
      <c r="Z12" s="6" t="n">
        <v>0</v>
      </c>
      <c r="AA12" s="6" t="n">
        <v>0</v>
      </c>
      <c r="AB12" s="6" t="n">
        <v>0</v>
      </c>
      <c r="AC12" s="10" t="n">
        <v>2355</v>
      </c>
      <c r="AD12" s="10" t="n">
        <v>3377</v>
      </c>
      <c r="AE12" s="10" t="n">
        <v>3063</v>
      </c>
      <c r="AF12" s="11" t="n">
        <v>0.05139925</v>
      </c>
      <c r="AG12" s="11" t="n">
        <v>0.0007721638558000001</v>
      </c>
      <c r="AH12" s="11" t="n">
        <v>0.00015</v>
      </c>
      <c r="AI12" s="12">
        <f>AF12+AG12+AH12</f>
        <v/>
      </c>
      <c r="AJ12" s="6" t="n">
        <v>0</v>
      </c>
      <c r="AK12" s="6" t="inlineStr"/>
    </row>
    <row r="13">
      <c r="A13" s="5" t="n">
        <v>1</v>
      </c>
      <c r="B13" s="5" t="n">
        <v>6</v>
      </c>
      <c r="C13" s="5" t="inlineStr">
        <is>
          <t>easy1_11</t>
        </is>
      </c>
      <c r="D13" s="5" t="inlineStr">
        <is>
          <t>B0</t>
        </is>
      </c>
      <c r="E13" s="5" t="inlineStr">
        <is>
          <t>2nd</t>
        </is>
      </c>
      <c r="F13" s="5" t="inlineStr">
        <is>
          <t>easy1</t>
        </is>
      </c>
      <c r="G13" s="5" t="inlineStr">
        <is>
          <t>easy</t>
        </is>
      </c>
      <c r="H13" s="6" t="n">
        <v>1</v>
      </c>
      <c r="I13" s="6" t="n">
        <v>0</v>
      </c>
      <c r="J13" s="6" t="n">
        <v>0</v>
      </c>
      <c r="K13" s="6" t="n">
        <v>5</v>
      </c>
      <c r="L13" s="6" t="n">
        <v>4</v>
      </c>
      <c r="M13" s="6" t="n">
        <v>2</v>
      </c>
      <c r="N13" s="6" t="inlineStr">
        <is>
          <t>SUCCEEDED</t>
        </is>
      </c>
      <c r="O13" s="7" t="n">
        <v>71.108</v>
      </c>
      <c r="P13" s="7" t="n">
        <v>69.78775405883789</v>
      </c>
      <c r="Q13" s="7" t="n">
        <v>55.72018194198608</v>
      </c>
      <c r="R13" s="7" t="n">
        <v>58.72081160545349</v>
      </c>
      <c r="S13" s="8">
        <f>IF(N13="SUCCEEDED",P13/Q13,"")</f>
        <v/>
      </c>
      <c r="T13" s="8">
        <f>IF(N13="SUCCEEDED",P13/R13,"")</f>
        <v/>
      </c>
      <c r="U13" s="9">
        <f>IF(N13="SUCCEEDED",IF(D13="B0",O13-P13,O13-Q13),"")</f>
        <v/>
      </c>
      <c r="V13" s="7" t="n">
        <v>0.2176823616027832</v>
      </c>
      <c r="W13" s="6" t="n">
        <v>0</v>
      </c>
      <c r="X13" s="7" t="n">
        <v>0</v>
      </c>
      <c r="Y13" s="6" t="n">
        <v>5</v>
      </c>
      <c r="Z13" s="6" t="n">
        <v>0</v>
      </c>
      <c r="AA13" s="6" t="n">
        <v>0</v>
      </c>
      <c r="AB13" s="6" t="n">
        <v>0</v>
      </c>
      <c r="AC13" s="10" t="n">
        <v>2365</v>
      </c>
      <c r="AD13" s="10" t="n">
        <v>4087</v>
      </c>
      <c r="AE13" s="10" t="n">
        <v>3771</v>
      </c>
      <c r="AF13" s="11" t="n">
        <v>0.06135675000000001</v>
      </c>
      <c r="AG13" s="11" t="n">
        <v>0.0004708423492</v>
      </c>
      <c r="AH13" s="11" t="n">
        <v>0.000125</v>
      </c>
      <c r="AI13" s="12">
        <f>AF13+AG13+AH13</f>
        <v/>
      </c>
      <c r="AJ13" s="6" t="n">
        <v>0</v>
      </c>
      <c r="AK13" s="6" t="inlineStr"/>
    </row>
    <row r="14">
      <c r="A14" s="5" t="n">
        <v>1</v>
      </c>
      <c r="B14" s="5" t="n">
        <v>7</v>
      </c>
      <c r="C14" s="5" t="inlineStr">
        <is>
          <t>easy1_3</t>
        </is>
      </c>
      <c r="D14" s="5" t="inlineStr">
        <is>
          <t>B0</t>
        </is>
      </c>
      <c r="E14" s="5" t="inlineStr">
        <is>
          <t>1st</t>
        </is>
      </c>
      <c r="F14" s="5" t="inlineStr">
        <is>
          <t>easy1</t>
        </is>
      </c>
      <c r="G14" s="5" t="inlineStr">
        <is>
          <t>easy</t>
        </is>
      </c>
      <c r="H14" s="6" t="n">
        <v>1</v>
      </c>
      <c r="I14" s="6" t="n">
        <v>0</v>
      </c>
      <c r="J14" s="6" t="n">
        <v>0</v>
      </c>
      <c r="K14" s="6" t="n">
        <v>5</v>
      </c>
      <c r="L14" s="6" t="n">
        <v>4</v>
      </c>
      <c r="M14" s="6" t="n">
        <v>2</v>
      </c>
      <c r="N14" s="6" t="inlineStr">
        <is>
          <t>SUCCEEDED</t>
        </is>
      </c>
      <c r="O14" s="7" t="n">
        <v>42.214</v>
      </c>
      <c r="P14" s="7" t="n">
        <v>40.85102367401123</v>
      </c>
      <c r="Q14" s="7" t="n">
        <v>30.67303133010864</v>
      </c>
      <c r="R14" s="7" t="n">
        <v>37.81774020195007</v>
      </c>
      <c r="S14" s="8">
        <f>IF(N14="SUCCEEDED",P14/Q14,"")</f>
        <v/>
      </c>
      <c r="T14" s="8">
        <f>IF(N14="SUCCEEDED",P14/R14,"")</f>
        <v/>
      </c>
      <c r="U14" s="9">
        <f>IF(N14="SUCCEEDED",IF(D14="B0",O14-P14,O14-Q14),"")</f>
        <v/>
      </c>
      <c r="V14" s="7" t="n">
        <v>0.2413198947906494</v>
      </c>
      <c r="W14" s="6" t="n">
        <v>0</v>
      </c>
      <c r="X14" s="7" t="n">
        <v>0</v>
      </c>
      <c r="Y14" s="6" t="n">
        <v>5</v>
      </c>
      <c r="Z14" s="6" t="n">
        <v>0</v>
      </c>
      <c r="AA14" s="6" t="n">
        <v>0</v>
      </c>
      <c r="AB14" s="6" t="n">
        <v>0</v>
      </c>
      <c r="AC14" s="10" t="n">
        <v>2002</v>
      </c>
      <c r="AD14" s="10" t="n">
        <v>2550</v>
      </c>
      <c r="AE14" s="10" t="n">
        <v>2395</v>
      </c>
      <c r="AF14" s="11" t="n">
        <v>0.0392035</v>
      </c>
      <c r="AG14" s="11" t="n">
        <v>0.000278134719</v>
      </c>
      <c r="AH14" s="11" t="n">
        <v>0.000125</v>
      </c>
      <c r="AI14" s="12">
        <f>AF14+AG14+AH14</f>
        <v/>
      </c>
      <c r="AJ14" s="6" t="n">
        <v>0</v>
      </c>
      <c r="AK14" s="6" t="inlineStr"/>
    </row>
    <row r="15">
      <c r="A15" s="5" t="n">
        <v>1</v>
      </c>
      <c r="B15" s="5" t="n">
        <v>7</v>
      </c>
      <c r="C15" s="5" t="inlineStr">
        <is>
          <t>easy1_3</t>
        </is>
      </c>
      <c r="D15" s="5" t="inlineStr">
        <is>
          <t>A1</t>
        </is>
      </c>
      <c r="E15" s="5" t="inlineStr">
        <is>
          <t>2nd</t>
        </is>
      </c>
      <c r="F15" s="5" t="inlineStr">
        <is>
          <t>easy1</t>
        </is>
      </c>
      <c r="G15" s="5" t="inlineStr">
        <is>
          <t>easy</t>
        </is>
      </c>
      <c r="H15" s="6" t="n">
        <v>1</v>
      </c>
      <c r="I15" s="6" t="n">
        <v>0</v>
      </c>
      <c r="J15" s="6" t="n">
        <v>0</v>
      </c>
      <c r="K15" s="6" t="n">
        <v>5</v>
      </c>
      <c r="L15" s="6" t="n">
        <v>4</v>
      </c>
      <c r="M15" s="6" t="n">
        <v>2</v>
      </c>
      <c r="N15" s="6" t="inlineStr">
        <is>
          <t>SUCCEEDED</t>
        </is>
      </c>
      <c r="O15" s="7" t="n">
        <v>36.987</v>
      </c>
      <c r="P15" s="7" t="n">
        <v>47.45236253738403</v>
      </c>
      <c r="Q15" s="7" t="n">
        <v>36.46280431747437</v>
      </c>
      <c r="R15" s="7" t="n">
        <v>44.18154525756836</v>
      </c>
      <c r="S15" s="8">
        <f>IF(N15="SUCCEEDED",P15/Q15,"")</f>
        <v/>
      </c>
      <c r="T15" s="8">
        <f>IF(N15="SUCCEEDED",P15/R15,"")</f>
        <v/>
      </c>
      <c r="U15" s="9">
        <f>IF(N15="SUCCEEDED",IF(D15="B0",O15-P15,O15-Q15),"")</f>
        <v/>
      </c>
      <c r="V15" s="7" t="n">
        <v>28.64129281044006</v>
      </c>
      <c r="W15" s="6" t="n">
        <v>0</v>
      </c>
      <c r="X15" s="7" t="n">
        <v>0</v>
      </c>
      <c r="Y15" s="6" t="n">
        <v>5</v>
      </c>
      <c r="Z15" s="6" t="n">
        <v>0</v>
      </c>
      <c r="AA15" s="6" t="n">
        <v>0</v>
      </c>
      <c r="AB15" s="6" t="n">
        <v>0</v>
      </c>
      <c r="AC15" s="10" t="n">
        <v>1987</v>
      </c>
      <c r="AD15" s="10" t="n">
        <v>2813</v>
      </c>
      <c r="AE15" s="10" t="n">
        <v>2658</v>
      </c>
      <c r="AF15" s="11" t="n">
        <v>0.04285924999999999</v>
      </c>
      <c r="AG15" s="11" t="n">
        <v>0.0005111958843</v>
      </c>
      <c r="AH15" s="11" t="n">
        <v>0.00015</v>
      </c>
      <c r="AI15" s="12">
        <f>AF15+AG15+AH15</f>
        <v/>
      </c>
      <c r="AJ15" s="6" t="n">
        <v>0</v>
      </c>
      <c r="AK15" s="6" t="inlineStr"/>
    </row>
    <row r="16">
      <c r="A16" s="5" t="n">
        <v>1</v>
      </c>
      <c r="B16" s="5" t="n">
        <v>8</v>
      </c>
      <c r="C16" s="5" t="inlineStr">
        <is>
          <t>easy2_18</t>
        </is>
      </c>
      <c r="D16" s="5" t="inlineStr">
        <is>
          <t>A1</t>
        </is>
      </c>
      <c r="E16" s="5" t="inlineStr">
        <is>
          <t>1st</t>
        </is>
      </c>
      <c r="F16" s="5" t="inlineStr">
        <is>
          <t>easy2</t>
        </is>
      </c>
      <c r="G16" s="5" t="inlineStr">
        <is>
          <t>easy</t>
        </is>
      </c>
      <c r="H16" s="6" t="n">
        <v>1</v>
      </c>
      <c r="I16" s="6" t="n">
        <v>0</v>
      </c>
      <c r="J16" s="6" t="n">
        <v>1</v>
      </c>
      <c r="K16" s="6" t="n">
        <v>5</v>
      </c>
      <c r="L16" s="6" t="n">
        <v>4</v>
      </c>
      <c r="M16" s="6" t="n">
        <v>2</v>
      </c>
      <c r="N16" s="6" t="inlineStr">
        <is>
          <t>SUCCEEDED</t>
        </is>
      </c>
      <c r="O16" s="7" t="n">
        <v>124.249</v>
      </c>
      <c r="P16" s="7" t="n">
        <v>129.2034950256348</v>
      </c>
      <c r="Q16" s="7" t="n">
        <v>123.2426812648773</v>
      </c>
      <c r="R16" s="7" t="n">
        <v>123.2426812648773</v>
      </c>
      <c r="S16" s="8">
        <f>IF(N16="SUCCEEDED",P16/Q16,"")</f>
        <v/>
      </c>
      <c r="T16" s="8">
        <f>IF(N16="SUCCEEDED",P16/R16,"")</f>
        <v/>
      </c>
      <c r="U16" s="9">
        <f>IF(N16="SUCCEEDED",IF(D16="B0",O16-P16,O16-Q16),"")</f>
        <v/>
      </c>
      <c r="V16" s="7" t="n">
        <v>242.6797187328339</v>
      </c>
      <c r="W16" s="6" t="n">
        <v>0</v>
      </c>
      <c r="X16" s="7" t="n">
        <v>0</v>
      </c>
      <c r="Y16" s="6" t="n">
        <v>5</v>
      </c>
      <c r="Z16" s="6" t="n">
        <v>0</v>
      </c>
      <c r="AA16" s="6" t="n">
        <v>0</v>
      </c>
      <c r="AB16" s="6" t="n">
        <v>0</v>
      </c>
      <c r="AC16" s="10" t="n">
        <v>2854</v>
      </c>
      <c r="AD16" s="10" t="n">
        <v>9565</v>
      </c>
      <c r="AE16" s="10" t="n">
        <v>8804</v>
      </c>
      <c r="AF16" s="11" t="n">
        <v>0.1389045</v>
      </c>
      <c r="AG16" s="11" t="n">
        <v>0.0024839390813</v>
      </c>
      <c r="AH16" s="11" t="n">
        <v>0.00015</v>
      </c>
      <c r="AI16" s="12">
        <f>AF16+AG16+AH16</f>
        <v/>
      </c>
      <c r="AJ16" s="6" t="n">
        <v>0</v>
      </c>
      <c r="AK16" s="6" t="inlineStr">
        <is>
          <t>yes</t>
        </is>
      </c>
    </row>
    <row r="17">
      <c r="A17" s="5" t="n">
        <v>1</v>
      </c>
      <c r="B17" s="5" t="n">
        <v>8</v>
      </c>
      <c r="C17" s="5" t="inlineStr">
        <is>
          <t>easy2_18</t>
        </is>
      </c>
      <c r="D17" s="5" t="inlineStr">
        <is>
          <t>B0</t>
        </is>
      </c>
      <c r="E17" s="5" t="inlineStr">
        <is>
          <t>2nd</t>
        </is>
      </c>
      <c r="F17" s="5" t="inlineStr">
        <is>
          <t>easy2</t>
        </is>
      </c>
      <c r="G17" s="5" t="inlineStr">
        <is>
          <t>easy</t>
        </is>
      </c>
      <c r="H17" s="6" t="n">
        <v>1</v>
      </c>
      <c r="I17" s="6" t="n">
        <v>0</v>
      </c>
      <c r="J17" s="6" t="n">
        <v>1</v>
      </c>
      <c r="K17" s="6" t="n">
        <v>5</v>
      </c>
      <c r="L17" s="6" t="n">
        <v>4</v>
      </c>
      <c r="M17" s="6" t="n">
        <v>2</v>
      </c>
      <c r="N17" s="6" t="inlineStr">
        <is>
          <t>SUCCEEDED</t>
        </is>
      </c>
      <c r="O17" s="7" t="n">
        <v>113.136</v>
      </c>
      <c r="P17" s="7" t="n">
        <v>111.8151741027832</v>
      </c>
      <c r="Q17" s="7" t="n">
        <v>104.1266038417816</v>
      </c>
      <c r="R17" s="7" t="n">
        <v>104.1266038417816</v>
      </c>
      <c r="S17" s="8">
        <f>IF(N17="SUCCEEDED",P17/Q17,"")</f>
        <v/>
      </c>
      <c r="T17" s="8">
        <f>IF(N17="SUCCEEDED",P17/R17,"")</f>
        <v/>
      </c>
      <c r="U17" s="9">
        <f>IF(N17="SUCCEEDED",IF(D17="B0",O17-P17,O17-Q17),"")</f>
        <v/>
      </c>
      <c r="V17" s="7" t="n">
        <v>0.2335977554321289</v>
      </c>
      <c r="W17" s="6" t="n">
        <v>0</v>
      </c>
      <c r="X17" s="7" t="n">
        <v>0</v>
      </c>
      <c r="Y17" s="6" t="n">
        <v>5</v>
      </c>
      <c r="Z17" s="6" t="n">
        <v>0</v>
      </c>
      <c r="AA17" s="6" t="n">
        <v>0</v>
      </c>
      <c r="AB17" s="6" t="n">
        <v>0</v>
      </c>
      <c r="AC17" s="10" t="n">
        <v>2851</v>
      </c>
      <c r="AD17" s="10" t="n">
        <v>7681</v>
      </c>
      <c r="AE17" s="10" t="n">
        <v>6908</v>
      </c>
      <c r="AF17" s="11" t="n">
        <v>0.11252325</v>
      </c>
      <c r="AG17" s="11" t="n">
        <v>0.0007513237516</v>
      </c>
      <c r="AH17" s="11" t="n">
        <v>0.000125</v>
      </c>
      <c r="AI17" s="12">
        <f>AF17+AG17+AH17</f>
        <v/>
      </c>
      <c r="AJ17" s="6" t="n">
        <v>1</v>
      </c>
      <c r="AK17" s="6" t="inlineStr">
        <is>
          <t>no</t>
        </is>
      </c>
    </row>
    <row r="18">
      <c r="A18" s="5" t="n">
        <v>1</v>
      </c>
      <c r="B18" s="5" t="n">
        <v>9</v>
      </c>
      <c r="C18" s="5" t="inlineStr">
        <is>
          <t>easy2_25</t>
        </is>
      </c>
      <c r="D18" s="5" t="inlineStr">
        <is>
          <t>B0</t>
        </is>
      </c>
      <c r="E18" s="5" t="inlineStr">
        <is>
          <t>1st</t>
        </is>
      </c>
      <c r="F18" s="5" t="inlineStr">
        <is>
          <t>easy2</t>
        </is>
      </c>
      <c r="G18" s="5" t="inlineStr">
        <is>
          <t>easy</t>
        </is>
      </c>
      <c r="H18" s="6" t="n">
        <v>1</v>
      </c>
      <c r="I18" s="6" t="n">
        <v>0</v>
      </c>
      <c r="J18" s="6" t="n">
        <v>1</v>
      </c>
      <c r="K18" s="6" t="n">
        <v>5</v>
      </c>
      <c r="L18" s="6" t="n">
        <v>4</v>
      </c>
      <c r="M18" s="6" t="n">
        <v>2</v>
      </c>
      <c r="N18" s="6" t="inlineStr">
        <is>
          <t>SUCCEEDED</t>
        </is>
      </c>
      <c r="O18" s="7" t="n">
        <v>134.321</v>
      </c>
      <c r="P18" s="7" t="n">
        <v>132.937953710556</v>
      </c>
      <c r="Q18" s="7" t="n">
        <v>127.7577137947083</v>
      </c>
      <c r="R18" s="7" t="n">
        <v>127.7577137947083</v>
      </c>
      <c r="S18" s="8">
        <f>IF(N18="SUCCEEDED",P18/Q18,"")</f>
        <v/>
      </c>
      <c r="T18" s="8">
        <f>IF(N18="SUCCEEDED",P18/R18,"")</f>
        <v/>
      </c>
      <c r="U18" s="9">
        <f>IF(N18="SUCCEEDED",IF(D18="B0",O18-P18,O18-Q18),"")</f>
        <v/>
      </c>
      <c r="V18" s="7" t="n">
        <v>0.2566025257110596</v>
      </c>
      <c r="W18" s="6" t="n">
        <v>0</v>
      </c>
      <c r="X18" s="7" t="n">
        <v>0</v>
      </c>
      <c r="Y18" s="6" t="n">
        <v>5</v>
      </c>
      <c r="Z18" s="6" t="n">
        <v>0</v>
      </c>
      <c r="AA18" s="6" t="n">
        <v>0</v>
      </c>
      <c r="AB18" s="6" t="n">
        <v>0</v>
      </c>
      <c r="AC18" s="10" t="n">
        <v>2557</v>
      </c>
      <c r="AD18" s="10" t="n">
        <v>9053</v>
      </c>
      <c r="AE18" s="10" t="n">
        <v>8544</v>
      </c>
      <c r="AF18" s="11" t="n">
        <v>0.13121675</v>
      </c>
      <c r="AG18" s="11" t="n">
        <v>0.0008925777911999999</v>
      </c>
      <c r="AH18" s="11" t="n">
        <v>0.000125</v>
      </c>
      <c r="AI18" s="12">
        <f>AF18+AG18+AH18</f>
        <v/>
      </c>
      <c r="AJ18" s="6" t="n">
        <v>0</v>
      </c>
      <c r="AK18" s="6" t="inlineStr">
        <is>
          <t>yes</t>
        </is>
      </c>
    </row>
    <row r="19">
      <c r="A19" s="5" t="n">
        <v>1</v>
      </c>
      <c r="B19" s="5" t="n">
        <v>9</v>
      </c>
      <c r="C19" s="5" t="inlineStr">
        <is>
          <t>easy2_25</t>
        </is>
      </c>
      <c r="D19" s="5" t="inlineStr">
        <is>
          <t>A1</t>
        </is>
      </c>
      <c r="E19" s="5" t="inlineStr">
        <is>
          <t>2nd</t>
        </is>
      </c>
      <c r="F19" s="5" t="inlineStr">
        <is>
          <t>easy2</t>
        </is>
      </c>
      <c r="G19" s="5" t="inlineStr">
        <is>
          <t>easy</t>
        </is>
      </c>
      <c r="H19" s="6" t="n">
        <v>1</v>
      </c>
      <c r="I19" s="6" t="n">
        <v>0</v>
      </c>
      <c r="J19" s="6" t="n">
        <v>1</v>
      </c>
      <c r="K19" s="6" t="n">
        <v>5</v>
      </c>
      <c r="L19" s="6" t="n">
        <v>4</v>
      </c>
      <c r="M19" s="6" t="n">
        <v>2</v>
      </c>
      <c r="N19" s="6" t="inlineStr">
        <is>
          <t>SUCCEEDED</t>
        </is>
      </c>
      <c r="O19" s="7" t="n">
        <v>124.854</v>
      </c>
      <c r="P19" s="7" t="n">
        <v>128.2102634906769</v>
      </c>
      <c r="Q19" s="7" t="n">
        <v>123.8368811607361</v>
      </c>
      <c r="R19" s="7" t="n">
        <v>123.8368811607361</v>
      </c>
      <c r="S19" s="8">
        <f>IF(N19="SUCCEEDED",P19/Q19,"")</f>
        <v/>
      </c>
      <c r="T19" s="8">
        <f>IF(N19="SUCCEEDED",P19/R19,"")</f>
        <v/>
      </c>
      <c r="U19" s="9">
        <f>IF(N19="SUCCEEDED",IF(D19="B0",O19-P19,O19-Q19),"")</f>
        <v/>
      </c>
      <c r="V19" s="7" t="n">
        <v>152.796986579895</v>
      </c>
      <c r="W19" s="6" t="n">
        <v>0</v>
      </c>
      <c r="X19" s="7" t="n">
        <v>0</v>
      </c>
      <c r="Y19" s="6" t="n">
        <v>5</v>
      </c>
      <c r="Z19" s="6" t="n">
        <v>0</v>
      </c>
      <c r="AA19" s="6" t="n">
        <v>0</v>
      </c>
      <c r="AB19" s="6" t="n">
        <v>0</v>
      </c>
      <c r="AC19" s="10" t="n">
        <v>2594</v>
      </c>
      <c r="AD19" s="10" t="n">
        <v>9094</v>
      </c>
      <c r="AE19" s="10" t="n">
        <v>8556</v>
      </c>
      <c r="AF19" s="11" t="n">
        <v>0.1318555</v>
      </c>
      <c r="AG19" s="11" t="n">
        <v>0.0018779493847</v>
      </c>
      <c r="AH19" s="11" t="n">
        <v>0.00015</v>
      </c>
      <c r="AI19" s="12">
        <f>AF19+AG19+AH19</f>
        <v/>
      </c>
      <c r="AJ19" s="6" t="n">
        <v>0</v>
      </c>
      <c r="AK19" s="6" t="inlineStr">
        <is>
          <t>yes</t>
        </is>
      </c>
    </row>
    <row r="20">
      <c r="A20" s="5" t="n">
        <v>1</v>
      </c>
      <c r="B20" s="5" t="n">
        <v>10</v>
      </c>
      <c r="C20" s="5" t="inlineStr">
        <is>
          <t>protein_1CAD_query_2_mask_4</t>
        </is>
      </c>
      <c r="D20" s="5" t="inlineStr">
        <is>
          <t>A1</t>
        </is>
      </c>
      <c r="E20" s="5" t="inlineStr">
        <is>
          <t>1st</t>
        </is>
      </c>
      <c r="F20" s="5" t="inlineStr">
        <is>
          <t>hard4</t>
        </is>
      </c>
      <c r="G20" s="5" t="inlineStr">
        <is>
          <t>hard</t>
        </is>
      </c>
      <c r="H20" s="6" t="n">
        <v>0</v>
      </c>
      <c r="I20" s="6" t="n">
        <v>0</v>
      </c>
      <c r="J20" s="6" t="n">
        <v>0</v>
      </c>
      <c r="K20" s="6" t="n">
        <v>6</v>
      </c>
      <c r="L20" s="6" t="n">
        <v>5</v>
      </c>
      <c r="M20" s="6" t="n">
        <v>2</v>
      </c>
      <c r="N20" s="6" t="inlineStr">
        <is>
          <t>SUCCEEDED</t>
        </is>
      </c>
      <c r="O20" s="7" t="n">
        <v>129.522</v>
      </c>
      <c r="P20" s="7" t="n">
        <v>134.4633748531342</v>
      </c>
      <c r="Q20" s="7" t="n">
        <v>128.2094058990479</v>
      </c>
      <c r="R20" s="7" t="n">
        <v>128.2094058990479</v>
      </c>
      <c r="S20" s="8">
        <f>IF(N20="SUCCEEDED",P20/Q20,"")</f>
        <v/>
      </c>
      <c r="T20" s="8">
        <f>IF(N20="SUCCEEDED",P20/R20,"")</f>
        <v/>
      </c>
      <c r="U20" s="9">
        <f>IF(N20="SUCCEEDED",IF(D20="B0",O20-P20,O20-Q20),"")</f>
        <v/>
      </c>
      <c r="V20" s="7" t="n">
        <v>204.3715071678162</v>
      </c>
      <c r="W20" s="6" t="n">
        <v>0</v>
      </c>
      <c r="X20" s="7" t="n">
        <v>0</v>
      </c>
      <c r="Y20" s="6" t="n">
        <v>6</v>
      </c>
      <c r="Z20" s="6" t="n">
        <v>0</v>
      </c>
      <c r="AA20" s="6" t="n">
        <v>0</v>
      </c>
      <c r="AB20" s="6" t="n">
        <v>0</v>
      </c>
      <c r="AC20" s="10" t="n">
        <v>87942</v>
      </c>
      <c r="AD20" s="10" t="n">
        <v>10970</v>
      </c>
      <c r="AE20" s="10" t="n">
        <v>10769</v>
      </c>
      <c r="AF20" s="11" t="n">
        <v>0.3074785</v>
      </c>
      <c r="AG20" s="11" t="n">
        <v>0.0022640846477</v>
      </c>
      <c r="AH20" s="11" t="n">
        <v>0.000175</v>
      </c>
      <c r="AI20" s="12">
        <f>AF20+AG20+AH20</f>
        <v/>
      </c>
      <c r="AJ20" s="6" t="n">
        <v>0</v>
      </c>
      <c r="AK20" s="6" t="inlineStr"/>
    </row>
    <row r="21">
      <c r="A21" s="5" t="n">
        <v>1</v>
      </c>
      <c r="B21" s="5" t="n">
        <v>10</v>
      </c>
      <c r="C21" s="5" t="inlineStr">
        <is>
          <t>protein_1CAD_query_2_mask_4</t>
        </is>
      </c>
      <c r="D21" s="5" t="inlineStr">
        <is>
          <t>B0</t>
        </is>
      </c>
      <c r="E21" s="5" t="inlineStr">
        <is>
          <t>2nd</t>
        </is>
      </c>
      <c r="F21" s="5" t="inlineStr">
        <is>
          <t>hard4</t>
        </is>
      </c>
      <c r="G21" s="5" t="inlineStr">
        <is>
          <t>hard</t>
        </is>
      </c>
      <c r="H21" s="6" t="n">
        <v>0</v>
      </c>
      <c r="I21" s="6" t="n">
        <v>0</v>
      </c>
      <c r="J21" s="6" t="n">
        <v>0</v>
      </c>
      <c r="K21" s="6" t="n">
        <v>6</v>
      </c>
      <c r="L21" s="6" t="n">
        <v>5</v>
      </c>
      <c r="M21" s="6" t="n">
        <v>2</v>
      </c>
      <c r="N21" s="6" t="inlineStr">
        <is>
          <t>SUCCEEDED</t>
        </is>
      </c>
      <c r="O21" s="7" t="n">
        <v>73.91</v>
      </c>
      <c r="P21" s="7" t="n">
        <v>72.10268187522888</v>
      </c>
      <c r="Q21" s="7" t="n">
        <v>66.03749752044678</v>
      </c>
      <c r="R21" s="7" t="n">
        <v>66.03749752044678</v>
      </c>
      <c r="S21" s="8">
        <f>IF(N21="SUCCEEDED",P21/Q21,"")</f>
        <v/>
      </c>
      <c r="T21" s="8">
        <f>IF(N21="SUCCEEDED",P21/R21,"")</f>
        <v/>
      </c>
      <c r="U21" s="9">
        <f>IF(N21="SUCCEEDED",IF(D21="B0",O21-P21,O21-Q21),"")</f>
        <v/>
      </c>
      <c r="V21" s="7" t="n">
        <v>0.4560081958770752</v>
      </c>
      <c r="W21" s="6" t="n">
        <v>0</v>
      </c>
      <c r="X21" s="7" t="n">
        <v>0</v>
      </c>
      <c r="Y21" s="6" t="n">
        <v>6</v>
      </c>
      <c r="Z21" s="6" t="n">
        <v>0</v>
      </c>
      <c r="AA21" s="6" t="n">
        <v>0</v>
      </c>
      <c r="AB21" s="6" t="n">
        <v>0</v>
      </c>
      <c r="AC21" s="10" t="n">
        <v>87972</v>
      </c>
      <c r="AD21" s="10" t="n">
        <v>5543</v>
      </c>
      <c r="AE21" s="10" t="n">
        <v>5322</v>
      </c>
      <c r="AF21" s="11" t="n">
        <v>0.231553</v>
      </c>
      <c r="AG21" s="11" t="n">
        <v>0.0004887624378</v>
      </c>
      <c r="AH21" s="11" t="n">
        <v>0.00015</v>
      </c>
      <c r="AI21" s="12">
        <f>AF21+AG21+AH21</f>
        <v/>
      </c>
      <c r="AJ21" s="6" t="n">
        <v>0</v>
      </c>
      <c r="AK21" s="6" t="inlineStr"/>
    </row>
    <row r="22">
      <c r="A22" s="5" t="n">
        <v>1</v>
      </c>
      <c r="B22" s="5" t="n">
        <v>11</v>
      </c>
      <c r="C22" s="5" t="inlineStr">
        <is>
          <t>med2_22</t>
        </is>
      </c>
      <c r="D22" s="5" t="inlineStr">
        <is>
          <t>B0</t>
        </is>
      </c>
      <c r="E22" s="5" t="inlineStr">
        <is>
          <t>1st</t>
        </is>
      </c>
      <c r="F22" s="5" t="inlineStr">
        <is>
          <t>med2</t>
        </is>
      </c>
      <c r="G22" s="5" t="inlineStr">
        <is>
          <t>medium</t>
        </is>
      </c>
      <c r="H22" s="6" t="n">
        <v>0</v>
      </c>
      <c r="I22" s="6" t="n">
        <v>0</v>
      </c>
      <c r="J22" s="6" t="n">
        <v>0</v>
      </c>
      <c r="K22" s="6" t="n">
        <v>9</v>
      </c>
      <c r="L22" s="6" t="n">
        <v>4</v>
      </c>
      <c r="M22" s="6" t="n">
        <v>5</v>
      </c>
      <c r="N22" s="6" t="inlineStr">
        <is>
          <t>SUCCEEDED</t>
        </is>
      </c>
      <c r="O22" s="7" t="n">
        <v>204.956</v>
      </c>
      <c r="P22" s="7" t="n">
        <v>202.5127818584442</v>
      </c>
      <c r="Q22" s="7" t="n">
        <v>129.6951830387115</v>
      </c>
      <c r="R22" s="7" t="n">
        <v>151.6057858467102</v>
      </c>
      <c r="S22" s="8">
        <f>IF(N22="SUCCEEDED",P22/Q22,"")</f>
        <v/>
      </c>
      <c r="T22" s="8">
        <f>IF(N22="SUCCEEDED",P22/R22,"")</f>
        <v/>
      </c>
      <c r="U22" s="9">
        <f>IF(N22="SUCCEEDED",IF(D22="B0",O22-P22,O22-Q22),"")</f>
        <v/>
      </c>
      <c r="V22" s="7" t="n">
        <v>0.4119126796722412</v>
      </c>
      <c r="W22" s="6" t="n">
        <v>1</v>
      </c>
      <c r="X22" s="7" t="n">
        <v>0.87451</v>
      </c>
      <c r="Y22" s="6" t="n">
        <v>9</v>
      </c>
      <c r="Z22" s="6" t="n">
        <v>0</v>
      </c>
      <c r="AA22" s="6" t="n">
        <v>0</v>
      </c>
      <c r="AB22" s="6" t="n">
        <v>0</v>
      </c>
      <c r="AC22" s="10" t="n">
        <v>4075</v>
      </c>
      <c r="AD22" s="10" t="n">
        <v>14078</v>
      </c>
      <c r="AE22" s="10" t="n">
        <v>13632</v>
      </c>
      <c r="AF22" s="11" t="n">
        <v>0.20422325</v>
      </c>
      <c r="AG22" s="11" t="n">
        <v>0.0013665868239</v>
      </c>
      <c r="AH22" s="11" t="n">
        <v>0.000225</v>
      </c>
      <c r="AI22" s="12">
        <f>AF22+AG22+AH22</f>
        <v/>
      </c>
      <c r="AJ22" s="6" t="n">
        <v>0</v>
      </c>
      <c r="AK22" s="6" t="inlineStr"/>
    </row>
    <row r="23">
      <c r="A23" s="5" t="n">
        <v>1</v>
      </c>
      <c r="B23" s="5" t="n">
        <v>11</v>
      </c>
      <c r="C23" s="5" t="inlineStr">
        <is>
          <t>med2_22</t>
        </is>
      </c>
      <c r="D23" s="5" t="inlineStr">
        <is>
          <t>A1</t>
        </is>
      </c>
      <c r="E23" s="5" t="inlineStr">
        <is>
          <t>2nd</t>
        </is>
      </c>
      <c r="F23" s="5" t="inlineStr">
        <is>
          <t>med2</t>
        </is>
      </c>
      <c r="G23" s="5" t="inlineStr">
        <is>
          <t>medium</t>
        </is>
      </c>
      <c r="H23" s="6" t="n">
        <v>0</v>
      </c>
      <c r="I23" s="6" t="n">
        <v>0</v>
      </c>
      <c r="J23" s="6" t="n">
        <v>0</v>
      </c>
      <c r="K23" s="6" t="n">
        <v>9</v>
      </c>
      <c r="L23" s="6" t="n">
        <v>4</v>
      </c>
      <c r="M23" s="6" t="n">
        <v>5</v>
      </c>
      <c r="N23" s="6" t="inlineStr">
        <is>
          <t>SUCCEEDED</t>
        </is>
      </c>
      <c r="O23" s="7" t="n">
        <v>108.834</v>
      </c>
      <c r="P23" s="7" t="n">
        <v>176.644727230072</v>
      </c>
      <c r="Q23" s="7" t="n">
        <v>108.0715947151184</v>
      </c>
      <c r="R23" s="7" t="n">
        <v>137.1518952846527</v>
      </c>
      <c r="S23" s="8">
        <f>IF(N23="SUCCEEDED",P23/Q23,"")</f>
        <v/>
      </c>
      <c r="T23" s="8">
        <f>IF(N23="SUCCEEDED",P23/R23,"")</f>
        <v/>
      </c>
      <c r="U23" s="9">
        <f>IF(N23="SUCCEEDED",IF(D23="B0",O23-P23,O23-Q23),"")</f>
        <v/>
      </c>
      <c r="V23" s="7" t="n">
        <v>109.6575384140015</v>
      </c>
      <c r="W23" s="6" t="n">
        <v>0</v>
      </c>
      <c r="X23" s="7" t="n">
        <v>0</v>
      </c>
      <c r="Y23" s="6" t="n">
        <v>9</v>
      </c>
      <c r="Z23" s="6" t="n">
        <v>0</v>
      </c>
      <c r="AA23" s="6" t="n">
        <v>0</v>
      </c>
      <c r="AB23" s="6" t="n">
        <v>0</v>
      </c>
      <c r="AC23" s="10" t="n">
        <v>4082</v>
      </c>
      <c r="AD23" s="10" t="n">
        <v>12461</v>
      </c>
      <c r="AE23" s="10" t="n">
        <v>12017</v>
      </c>
      <c r="AF23" s="11" t="n">
        <v>0.1815975</v>
      </c>
      <c r="AG23" s="11" t="n">
        <v>0.0019175362453</v>
      </c>
      <c r="AH23" s="11" t="n">
        <v>0.00025</v>
      </c>
      <c r="AI23" s="12">
        <f>AF23+AG23+AH23</f>
        <v/>
      </c>
      <c r="AJ23" s="6" t="n">
        <v>0</v>
      </c>
      <c r="AK23" s="6" t="inlineStr"/>
    </row>
    <row r="24">
      <c r="A24" s="5" t="n">
        <v>1</v>
      </c>
      <c r="B24" s="5" t="n">
        <v>12</v>
      </c>
      <c r="C24" s="5" t="inlineStr">
        <is>
          <t>protein_1CRN_query_3_mask_4</t>
        </is>
      </c>
      <c r="D24" s="5" t="inlineStr">
        <is>
          <t>A1</t>
        </is>
      </c>
      <c r="E24" s="5" t="inlineStr">
        <is>
          <t>1st</t>
        </is>
      </c>
      <c r="F24" s="5" t="inlineStr">
        <is>
          <t>hard4</t>
        </is>
      </c>
      <c r="G24" s="5" t="inlineStr">
        <is>
          <t>hard</t>
        </is>
      </c>
      <c r="H24" s="6" t="n">
        <v>0</v>
      </c>
      <c r="I24" s="6" t="n">
        <v>0</v>
      </c>
      <c r="J24" s="6" t="n">
        <v>0</v>
      </c>
      <c r="K24" s="6" t="n">
        <v>6</v>
      </c>
      <c r="L24" s="6" t="n">
        <v>5</v>
      </c>
      <c r="M24" s="6" t="n">
        <v>2</v>
      </c>
      <c r="N24" s="6" t="inlineStr">
        <is>
          <t>SUCCEEDED</t>
        </is>
      </c>
      <c r="O24" s="7" t="n">
        <v>159.218</v>
      </c>
      <c r="P24" s="7" t="n">
        <v>164.7600603103638</v>
      </c>
      <c r="Q24" s="7" t="n">
        <v>158.071070432663</v>
      </c>
      <c r="R24" s="7" t="n">
        <v>158.071070432663</v>
      </c>
      <c r="S24" s="8">
        <f>IF(N24="SUCCEEDED",P24/Q24,"")</f>
        <v/>
      </c>
      <c r="T24" s="8">
        <f>IF(N24="SUCCEEDED",P24/R24,"")</f>
        <v/>
      </c>
      <c r="U24" s="9">
        <f>IF(N24="SUCCEEDED",IF(D24="B0",O24-P24,O24-Q24),"")</f>
        <v/>
      </c>
      <c r="V24" s="7" t="n">
        <v>191.6846277713776</v>
      </c>
      <c r="W24" s="6" t="n">
        <v>0</v>
      </c>
      <c r="X24" s="7" t="n">
        <v>0</v>
      </c>
      <c r="Y24" s="6" t="n">
        <v>6</v>
      </c>
      <c r="Z24" s="6" t="n">
        <v>0</v>
      </c>
      <c r="AA24" s="6" t="n">
        <v>0</v>
      </c>
      <c r="AB24" s="6" t="n">
        <v>0</v>
      </c>
      <c r="AC24" s="10" t="n">
        <v>69776</v>
      </c>
      <c r="AD24" s="10" t="n">
        <v>13308</v>
      </c>
      <c r="AE24" s="10" t="n">
        <v>13109</v>
      </c>
      <c r="AF24" s="11" t="n">
        <v>0.30842</v>
      </c>
      <c r="AG24" s="11" t="n">
        <v>0.0023820252374</v>
      </c>
      <c r="AH24" s="11" t="n">
        <v>0.000175</v>
      </c>
      <c r="AI24" s="12">
        <f>AF24+AG24+AH24</f>
        <v/>
      </c>
      <c r="AJ24" s="6" t="n">
        <v>0</v>
      </c>
      <c r="AK24" s="6" t="inlineStr"/>
    </row>
    <row r="25">
      <c r="A25" s="5" t="n">
        <v>1</v>
      </c>
      <c r="B25" s="5" t="n">
        <v>12</v>
      </c>
      <c r="C25" s="5" t="inlineStr">
        <is>
          <t>protein_1CRN_query_3_mask_4</t>
        </is>
      </c>
      <c r="D25" s="5" t="inlineStr">
        <is>
          <t>B0</t>
        </is>
      </c>
      <c r="E25" s="5" t="inlineStr">
        <is>
          <t>2nd</t>
        </is>
      </c>
      <c r="F25" s="5" t="inlineStr">
        <is>
          <t>hard4</t>
        </is>
      </c>
      <c r="G25" s="5" t="inlineStr">
        <is>
          <t>hard</t>
        </is>
      </c>
      <c r="H25" s="6" t="n">
        <v>0</v>
      </c>
      <c r="I25" s="6" t="n">
        <v>0</v>
      </c>
      <c r="J25" s="6" t="n">
        <v>0</v>
      </c>
      <c r="K25" s="6" t="n">
        <v>6</v>
      </c>
      <c r="L25" s="6" t="n">
        <v>5</v>
      </c>
      <c r="M25" s="6" t="n">
        <v>2</v>
      </c>
      <c r="N25" s="6" t="inlineStr">
        <is>
          <t>SUCCEEDED</t>
        </is>
      </c>
      <c r="O25" s="7" t="n">
        <v>160.293</v>
      </c>
      <c r="P25" s="7" t="n">
        <v>158.4185349941254</v>
      </c>
      <c r="Q25" s="7" t="n">
        <v>149.9938952922821</v>
      </c>
      <c r="R25" s="7" t="n">
        <v>149.9938952922821</v>
      </c>
      <c r="S25" s="8">
        <f>IF(N25="SUCCEEDED",P25/Q25,"")</f>
        <v/>
      </c>
      <c r="T25" s="8">
        <f>IF(N25="SUCCEEDED",P25/R25,"")</f>
        <v/>
      </c>
      <c r="U25" s="9">
        <f>IF(N25="SUCCEEDED",IF(D25="B0",O25-P25,O25-Q25),"")</f>
        <v/>
      </c>
      <c r="V25" s="7" t="n">
        <v>0.4875156879425049</v>
      </c>
      <c r="W25" s="6" t="n">
        <v>0</v>
      </c>
      <c r="X25" s="7" t="n">
        <v>0</v>
      </c>
      <c r="Y25" s="6" t="n">
        <v>6</v>
      </c>
      <c r="Z25" s="6" t="n">
        <v>0</v>
      </c>
      <c r="AA25" s="6" t="n">
        <v>0</v>
      </c>
      <c r="AB25" s="6" t="n">
        <v>0</v>
      </c>
      <c r="AC25" s="10" t="n">
        <v>69827</v>
      </c>
      <c r="AD25" s="10" t="n">
        <v>11783</v>
      </c>
      <c r="AE25" s="10" t="n">
        <v>11564</v>
      </c>
      <c r="AF25" s="11" t="n">
        <v>0.28715925</v>
      </c>
      <c r="AG25" s="11" t="n">
        <v>0.001064738651</v>
      </c>
      <c r="AH25" s="11" t="n">
        <v>0.00015</v>
      </c>
      <c r="AI25" s="12">
        <f>AF25+AG25+AH25</f>
        <v/>
      </c>
      <c r="AJ25" s="6" t="n">
        <v>0</v>
      </c>
      <c r="AK25" s="6" t="inlineStr"/>
    </row>
    <row r="26">
      <c r="A26" s="5" t="n">
        <v>1</v>
      </c>
      <c r="B26" s="5" t="n">
        <v>13</v>
      </c>
      <c r="C26" s="5" t="inlineStr">
        <is>
          <t>med1_3</t>
        </is>
      </c>
      <c r="D26" s="5" t="inlineStr">
        <is>
          <t>B0</t>
        </is>
      </c>
      <c r="E26" s="5" t="inlineStr">
        <is>
          <t>1st</t>
        </is>
      </c>
      <c r="F26" s="5" t="inlineStr">
        <is>
          <t>med1</t>
        </is>
      </c>
      <c r="G26" s="5" t="inlineStr">
        <is>
          <t>medium</t>
        </is>
      </c>
      <c r="H26" s="6" t="n">
        <v>0</v>
      </c>
      <c r="I26" s="6" t="n">
        <v>0</v>
      </c>
      <c r="J26" s="6" t="n">
        <v>0</v>
      </c>
      <c r="K26" s="6" t="n">
        <v>9</v>
      </c>
      <c r="L26" s="6" t="n">
        <v>4</v>
      </c>
      <c r="M26" s="6" t="n">
        <v>5</v>
      </c>
      <c r="N26" s="6" t="inlineStr">
        <is>
          <t>SUCCEEDED</t>
        </is>
      </c>
      <c r="O26" s="7" t="n">
        <v>221.482</v>
      </c>
      <c r="P26" s="7" t="n">
        <v>219.0229499340057</v>
      </c>
      <c r="Q26" s="7" t="n">
        <v>128.5082747936249</v>
      </c>
      <c r="R26" s="7" t="n">
        <v>145.3671734333038</v>
      </c>
      <c r="S26" s="8">
        <f>IF(N26="SUCCEEDED",P26/Q26,"")</f>
        <v/>
      </c>
      <c r="T26" s="8">
        <f>IF(N26="SUCCEEDED",P26/R26,"")</f>
        <v/>
      </c>
      <c r="U26" s="9">
        <f>IF(N26="SUCCEEDED",IF(D26="B0",O26-P26,O26-Q26),"")</f>
        <v/>
      </c>
      <c r="V26" s="7" t="n">
        <v>0.4464447498321533</v>
      </c>
      <c r="W26" s="6" t="n">
        <v>0</v>
      </c>
      <c r="X26" s="7" t="n">
        <v>0</v>
      </c>
      <c r="Y26" s="6" t="n">
        <v>9</v>
      </c>
      <c r="Z26" s="6" t="n">
        <v>0</v>
      </c>
      <c r="AA26" s="6" t="n">
        <v>0</v>
      </c>
      <c r="AB26" s="6" t="n">
        <v>0</v>
      </c>
      <c r="AC26" s="10" t="n">
        <v>3888</v>
      </c>
      <c r="AD26" s="10" t="n">
        <v>13368</v>
      </c>
      <c r="AE26" s="10" t="n">
        <v>13024</v>
      </c>
      <c r="AF26" s="11" t="n">
        <v>0.193956</v>
      </c>
      <c r="AG26" s="11" t="n">
        <v>0.0014716806827</v>
      </c>
      <c r="AH26" s="11" t="n">
        <v>0.000225</v>
      </c>
      <c r="AI26" s="12">
        <f>AF26+AG26+AH26</f>
        <v/>
      </c>
      <c r="AJ26" s="6" t="n">
        <v>1</v>
      </c>
      <c r="AK26" s="6" t="inlineStr"/>
    </row>
    <row r="27">
      <c r="A27" s="5" t="n">
        <v>1</v>
      </c>
      <c r="B27" s="5" t="n">
        <v>13</v>
      </c>
      <c r="C27" s="5" t="inlineStr">
        <is>
          <t>med1_3</t>
        </is>
      </c>
      <c r="D27" s="5" t="inlineStr">
        <is>
          <t>A1</t>
        </is>
      </c>
      <c r="E27" s="5" t="inlineStr">
        <is>
          <t>2nd</t>
        </is>
      </c>
      <c r="F27" s="5" t="inlineStr">
        <is>
          <t>med1</t>
        </is>
      </c>
      <c r="G27" s="5" t="inlineStr">
        <is>
          <t>medium</t>
        </is>
      </c>
      <c r="H27" s="6" t="n">
        <v>0</v>
      </c>
      <c r="I27" s="6" t="n">
        <v>0</v>
      </c>
      <c r="J27" s="6" t="n">
        <v>0</v>
      </c>
      <c r="K27" s="6" t="n">
        <v>9</v>
      </c>
      <c r="L27" s="6" t="n">
        <v>4</v>
      </c>
      <c r="M27" s="6" t="n">
        <v>5</v>
      </c>
      <c r="N27" s="6" t="inlineStr">
        <is>
          <t>SUCCEEDED</t>
        </is>
      </c>
      <c r="O27" s="7" t="n">
        <v>116.44</v>
      </c>
      <c r="P27" s="7" t="n">
        <v>184.1085646152496</v>
      </c>
      <c r="Q27" s="7" t="n">
        <v>115.6401801109314</v>
      </c>
      <c r="R27" s="7" t="n">
        <v>123.8735508918762</v>
      </c>
      <c r="S27" s="8">
        <f>IF(N27="SUCCEEDED",P27/Q27,"")</f>
        <v/>
      </c>
      <c r="T27" s="8">
        <f>IF(N27="SUCCEEDED",P27/R27,"")</f>
        <v/>
      </c>
      <c r="U27" s="9">
        <f>IF(N27="SUCCEEDED",IF(D27="B0",O27-P27,O27-Q27),"")</f>
        <v/>
      </c>
      <c r="V27" s="7" t="n">
        <v>135.6006376743317</v>
      </c>
      <c r="W27" s="6" t="n">
        <v>0</v>
      </c>
      <c r="X27" s="7" t="n">
        <v>0</v>
      </c>
      <c r="Y27" s="6" t="n">
        <v>9</v>
      </c>
      <c r="Z27" s="6" t="n">
        <v>0</v>
      </c>
      <c r="AA27" s="6" t="n">
        <v>0</v>
      </c>
      <c r="AB27" s="6" t="n">
        <v>0</v>
      </c>
      <c r="AC27" s="10" t="n">
        <v>3866</v>
      </c>
      <c r="AD27" s="10" t="n">
        <v>11061</v>
      </c>
      <c r="AE27" s="10" t="n">
        <v>10739</v>
      </c>
      <c r="AF27" s="11" t="n">
        <v>0.1616195</v>
      </c>
      <c r="AG27" s="11" t="n">
        <v>0.0021399106905</v>
      </c>
      <c r="AH27" s="11" t="n">
        <v>0.00025</v>
      </c>
      <c r="AI27" s="12">
        <f>AF27+AG27+AH27</f>
        <v/>
      </c>
      <c r="AJ27" s="6" t="n">
        <v>0</v>
      </c>
      <c r="AK27" s="6" t="inlineStr"/>
    </row>
    <row r="28">
      <c r="A28" s="5" t="n">
        <v>1</v>
      </c>
      <c r="B28" s="5" t="n">
        <v>14</v>
      </c>
      <c r="C28" s="5" t="inlineStr">
        <is>
          <t>protein_1PGA_query_6_mask_2</t>
        </is>
      </c>
      <c r="D28" s="5" t="inlineStr">
        <is>
          <t>A1</t>
        </is>
      </c>
      <c r="E28" s="5" t="inlineStr">
        <is>
          <t>1st</t>
        </is>
      </c>
      <c r="F28" s="5" t="inlineStr">
        <is>
          <t>med4</t>
        </is>
      </c>
      <c r="G28" s="5" t="inlineStr">
        <is>
          <t>medium</t>
        </is>
      </c>
      <c r="H28" s="6" t="n">
        <v>0</v>
      </c>
      <c r="I28" s="6" t="n">
        <v>0</v>
      </c>
      <c r="J28" s="6" t="n">
        <v>0</v>
      </c>
      <c r="K28" s="6" t="n">
        <v>6</v>
      </c>
      <c r="L28" s="6" t="n">
        <v>5</v>
      </c>
      <c r="M28" s="6" t="n">
        <v>2</v>
      </c>
      <c r="N28" s="6" t="inlineStr">
        <is>
          <t>SUCCEEDED</t>
        </is>
      </c>
      <c r="O28" s="7" t="n">
        <v>110.564</v>
      </c>
      <c r="P28" s="7" t="n">
        <v>115.225248336792</v>
      </c>
      <c r="Q28" s="7" t="n">
        <v>109.4960091114044</v>
      </c>
      <c r="R28" s="7" t="n">
        <v>109.4960091114044</v>
      </c>
      <c r="S28" s="8">
        <f>IF(N28="SUCCEEDED",P28/Q28,"")</f>
        <v/>
      </c>
      <c r="T28" s="8">
        <f>IF(N28="SUCCEEDED",P28/R28,"")</f>
        <v/>
      </c>
      <c r="U28" s="9">
        <f>IF(N28="SUCCEEDED",IF(D28="B0",O28-P28,O28-Q28),"")</f>
        <v/>
      </c>
      <c r="V28" s="7" t="n">
        <v>209.4665629863739</v>
      </c>
      <c r="W28" s="6" t="n">
        <v>0</v>
      </c>
      <c r="X28" s="7" t="n">
        <v>0</v>
      </c>
      <c r="Y28" s="6" t="n">
        <v>6</v>
      </c>
      <c r="Z28" s="6" t="n">
        <v>0</v>
      </c>
      <c r="AA28" s="6" t="n">
        <v>0</v>
      </c>
      <c r="AB28" s="6" t="n">
        <v>0</v>
      </c>
      <c r="AC28" s="10" t="n">
        <v>94700</v>
      </c>
      <c r="AD28" s="10" t="n">
        <v>8932</v>
      </c>
      <c r="AE28" s="10" t="n">
        <v>8728</v>
      </c>
      <c r="AF28" s="11" t="n">
        <v>0.2907729999999999</v>
      </c>
      <c r="AG28" s="11" t="n">
        <v>0.0021697908429</v>
      </c>
      <c r="AH28" s="11" t="n">
        <v>0.000175</v>
      </c>
      <c r="AI28" s="12">
        <f>AF28+AG28+AH28</f>
        <v/>
      </c>
      <c r="AJ28" s="6" t="n">
        <v>0</v>
      </c>
      <c r="AK28" s="6" t="inlineStr"/>
    </row>
    <row r="29">
      <c r="A29" s="5" t="n">
        <v>1</v>
      </c>
      <c r="B29" s="5" t="n">
        <v>14</v>
      </c>
      <c r="C29" s="5" t="inlineStr">
        <is>
          <t>protein_1PGA_query_6_mask_2</t>
        </is>
      </c>
      <c r="D29" s="5" t="inlineStr">
        <is>
          <t>B0</t>
        </is>
      </c>
      <c r="E29" s="5" t="inlineStr">
        <is>
          <t>2nd</t>
        </is>
      </c>
      <c r="F29" s="5" t="inlineStr">
        <is>
          <t>med4</t>
        </is>
      </c>
      <c r="G29" s="5" t="inlineStr">
        <is>
          <t>medium</t>
        </is>
      </c>
      <c r="H29" s="6" t="n">
        <v>0</v>
      </c>
      <c r="I29" s="6" t="n">
        <v>0</v>
      </c>
      <c r="J29" s="6" t="n">
        <v>0</v>
      </c>
      <c r="K29" s="6" t="n">
        <v>6</v>
      </c>
      <c r="L29" s="6" t="n">
        <v>5</v>
      </c>
      <c r="M29" s="6" t="n">
        <v>2</v>
      </c>
      <c r="N29" s="6" t="inlineStr">
        <is>
          <t>SUCCEEDED</t>
        </is>
      </c>
      <c r="O29" s="7" t="n">
        <v>132.47</v>
      </c>
      <c r="P29" s="7" t="n">
        <v>130.7356758117676</v>
      </c>
      <c r="Q29" s="7" t="n">
        <v>123.2920801639557</v>
      </c>
      <c r="R29" s="7" t="n">
        <v>123.2920801639557</v>
      </c>
      <c r="S29" s="8">
        <f>IF(N29="SUCCEEDED",P29/Q29,"")</f>
        <v/>
      </c>
      <c r="T29" s="8">
        <f>IF(N29="SUCCEEDED",P29/R29,"")</f>
        <v/>
      </c>
      <c r="U29" s="9">
        <f>IF(N29="SUCCEEDED",IF(D29="B0",O29-P29,O29-Q29),"")</f>
        <v/>
      </c>
      <c r="V29" s="7" t="n">
        <v>0.4878275394439697</v>
      </c>
      <c r="W29" s="6" t="n">
        <v>0</v>
      </c>
      <c r="X29" s="7" t="n">
        <v>0</v>
      </c>
      <c r="Y29" s="6" t="n">
        <v>6</v>
      </c>
      <c r="Z29" s="6" t="n">
        <v>0</v>
      </c>
      <c r="AA29" s="6" t="n">
        <v>0</v>
      </c>
      <c r="AB29" s="6" t="n">
        <v>0</v>
      </c>
      <c r="AC29" s="10" t="n">
        <v>94775</v>
      </c>
      <c r="AD29" s="10" t="n">
        <v>9905</v>
      </c>
      <c r="AE29" s="10" t="n">
        <v>9685</v>
      </c>
      <c r="AF29" s="11" t="n">
        <v>0.30452625</v>
      </c>
      <c r="AG29" s="11" t="n">
        <v>0.0008799777272000001</v>
      </c>
      <c r="AH29" s="11" t="n">
        <v>0.00015</v>
      </c>
      <c r="AI29" s="12">
        <f>AF29+AG29+AH29</f>
        <v/>
      </c>
      <c r="AJ29" s="6" t="n">
        <v>0</v>
      </c>
      <c r="AK29" s="6" t="inlineStr"/>
    </row>
    <row r="30">
      <c r="A30" s="5" t="n">
        <v>1</v>
      </c>
      <c r="B30" s="5" t="n">
        <v>15</v>
      </c>
      <c r="C30" s="5" t="inlineStr">
        <is>
          <t>med3_45</t>
        </is>
      </c>
      <c r="D30" s="5" t="inlineStr">
        <is>
          <t>B0</t>
        </is>
      </c>
      <c r="E30" s="5" t="inlineStr">
        <is>
          <t>1st</t>
        </is>
      </c>
      <c r="F30" s="5" t="inlineStr">
        <is>
          <t>med3</t>
        </is>
      </c>
      <c r="G30" s="5" t="inlineStr">
        <is>
          <t>medium</t>
        </is>
      </c>
      <c r="H30" s="6" t="n">
        <v>0</v>
      </c>
      <c r="I30" s="6" t="n">
        <v>0</v>
      </c>
      <c r="J30" s="6" t="n">
        <v>0</v>
      </c>
      <c r="K30" s="6" t="n">
        <v>11</v>
      </c>
      <c r="L30" s="6" t="n">
        <v>6</v>
      </c>
      <c r="M30" s="6" t="n">
        <v>2</v>
      </c>
      <c r="N30" s="6" t="inlineStr">
        <is>
          <t>SUCCEEDED</t>
        </is>
      </c>
      <c r="O30" s="7" t="n">
        <v>322.878</v>
      </c>
      <c r="P30" s="7" t="n">
        <v>319.6117606163025</v>
      </c>
      <c r="Q30" s="7" t="n">
        <v>189.3164479732513</v>
      </c>
      <c r="R30" s="7" t="n">
        <v>229.3381199836731</v>
      </c>
      <c r="S30" s="8">
        <f>IF(N30="SUCCEEDED",P30/Q30,"")</f>
        <v/>
      </c>
      <c r="T30" s="8">
        <f>IF(N30="SUCCEEDED",P30/R30,"")</f>
        <v/>
      </c>
      <c r="U30" s="9">
        <f>IF(N30="SUCCEEDED",IF(D30="B0",O30-P30,O30-Q30),"")</f>
        <v/>
      </c>
      <c r="V30" s="7" t="n">
        <v>0.7194156646728516</v>
      </c>
      <c r="W30" s="6" t="n">
        <v>0</v>
      </c>
      <c r="X30" s="7" t="n">
        <v>0</v>
      </c>
      <c r="Y30" s="6" t="n">
        <v>11</v>
      </c>
      <c r="Z30" s="6" t="n">
        <v>0</v>
      </c>
      <c r="AA30" s="6" t="n">
        <v>0</v>
      </c>
      <c r="AB30" s="6" t="n">
        <v>0</v>
      </c>
      <c r="AC30" s="10" t="n">
        <v>6158</v>
      </c>
      <c r="AD30" s="10" t="n">
        <v>22101</v>
      </c>
      <c r="AE30" s="10" t="n">
        <v>21673</v>
      </c>
      <c r="AF30" s="11" t="n">
        <v>0.3201905</v>
      </c>
      <c r="AG30" s="11" t="n">
        <v>0.0021454573829</v>
      </c>
      <c r="AH30" s="11" t="n">
        <v>0.000275</v>
      </c>
      <c r="AI30" s="12">
        <f>AF30+AG30+AH30</f>
        <v/>
      </c>
      <c r="AJ30" s="6" t="n">
        <v>0</v>
      </c>
      <c r="AK30" s="6" t="inlineStr"/>
    </row>
    <row r="31">
      <c r="A31" s="5" t="n">
        <v>1</v>
      </c>
      <c r="B31" s="5" t="n">
        <v>15</v>
      </c>
      <c r="C31" s="5" t="inlineStr">
        <is>
          <t>med3_45</t>
        </is>
      </c>
      <c r="D31" s="5" t="inlineStr">
        <is>
          <t>A1</t>
        </is>
      </c>
      <c r="E31" s="5" t="inlineStr">
        <is>
          <t>2nd</t>
        </is>
      </c>
      <c r="F31" s="5" t="inlineStr">
        <is>
          <t>med3</t>
        </is>
      </c>
      <c r="G31" s="5" t="inlineStr">
        <is>
          <t>medium</t>
        </is>
      </c>
      <c r="H31" s="6" t="n">
        <v>0</v>
      </c>
      <c r="I31" s="6" t="n">
        <v>0</v>
      </c>
      <c r="J31" s="6" t="n">
        <v>0</v>
      </c>
      <c r="K31" s="6" t="n">
        <v>11</v>
      </c>
      <c r="L31" s="6" t="n">
        <v>6</v>
      </c>
      <c r="M31" s="6" t="n">
        <v>2</v>
      </c>
      <c r="N31" s="6" t="inlineStr">
        <is>
          <t>SUCCEEDED</t>
        </is>
      </c>
      <c r="O31" s="7" t="n">
        <v>151.815</v>
      </c>
      <c r="P31" s="7" t="n">
        <v>270.701000213623</v>
      </c>
      <c r="Q31" s="7" t="n">
        <v>150.4073061943054</v>
      </c>
      <c r="R31" s="7" t="n">
        <v>173.1611175537109</v>
      </c>
      <c r="S31" s="8">
        <f>IF(N31="SUCCEEDED",P31/Q31,"")</f>
        <v/>
      </c>
      <c r="T31" s="8">
        <f>IF(N31="SUCCEEDED",P31/R31,"")</f>
        <v/>
      </c>
      <c r="U31" s="9">
        <f>IF(N31="SUCCEEDED",IF(D31="B0",O31-P31,O31-Q31),"")</f>
        <v/>
      </c>
      <c r="V31" s="7" t="n">
        <v>509.7021653652191</v>
      </c>
      <c r="W31" s="6" t="n">
        <v>0</v>
      </c>
      <c r="X31" s="7" t="n">
        <v>0</v>
      </c>
      <c r="Y31" s="6" t="n">
        <v>11</v>
      </c>
      <c r="Z31" s="6" t="n">
        <v>0</v>
      </c>
      <c r="AA31" s="6" t="n">
        <v>0</v>
      </c>
      <c r="AB31" s="6" t="n">
        <v>0</v>
      </c>
      <c r="AC31" s="10" t="n">
        <v>6196</v>
      </c>
      <c r="AD31" s="10" t="n">
        <v>18824</v>
      </c>
      <c r="AE31" s="10" t="n">
        <v>18380</v>
      </c>
      <c r="AF31" s="11" t="n">
        <v>0.274379</v>
      </c>
      <c r="AG31" s="11" t="n">
        <v>0.0052125727184</v>
      </c>
      <c r="AH31" s="11" t="n">
        <v>0.0003</v>
      </c>
      <c r="AI31" s="12">
        <f>AF31+AG31+AH31</f>
        <v/>
      </c>
      <c r="AJ31" s="6" t="n">
        <v>0</v>
      </c>
      <c r="AK31" s="6" t="inlineStr"/>
    </row>
    <row r="32">
      <c r="A32" s="5" t="n">
        <v>1</v>
      </c>
      <c r="B32" s="5" t="n">
        <v>16</v>
      </c>
      <c r="C32" s="5" t="inlineStr">
        <is>
          <t>easy2_8</t>
        </is>
      </c>
      <c r="D32" s="5" t="inlineStr">
        <is>
          <t>A1</t>
        </is>
      </c>
      <c r="E32" s="5" t="inlineStr">
        <is>
          <t>1st</t>
        </is>
      </c>
      <c r="F32" s="5" t="inlineStr">
        <is>
          <t>easy2</t>
        </is>
      </c>
      <c r="G32" s="5" t="inlineStr">
        <is>
          <t>easy</t>
        </is>
      </c>
      <c r="H32" s="6" t="n">
        <v>1</v>
      </c>
      <c r="I32" s="6" t="n">
        <v>0</v>
      </c>
      <c r="J32" s="6" t="n">
        <v>1</v>
      </c>
      <c r="K32" s="6" t="n">
        <v>5</v>
      </c>
      <c r="L32" s="6" t="n">
        <v>4</v>
      </c>
      <c r="M32" s="6" t="n">
        <v>2</v>
      </c>
      <c r="N32" s="6" t="inlineStr">
        <is>
          <t>SUCCEEDED</t>
        </is>
      </c>
      <c r="O32" s="7" t="n">
        <v>106.767</v>
      </c>
      <c r="P32" s="7" t="n">
        <v>111.5952064990997</v>
      </c>
      <c r="Q32" s="7" t="n">
        <v>105.9207761287689</v>
      </c>
      <c r="R32" s="7" t="n">
        <v>105.9207761287689</v>
      </c>
      <c r="S32" s="8">
        <f>IF(N32="SUCCEEDED",P32/Q32,"")</f>
        <v/>
      </c>
      <c r="T32" s="8">
        <f>IF(N32="SUCCEEDED",P32/R32,"")</f>
        <v/>
      </c>
      <c r="U32" s="9">
        <f>IF(N32="SUCCEEDED",IF(D32="B0",O32-P32,O32-Q32),"")</f>
        <v/>
      </c>
      <c r="V32" s="7" t="n">
        <v>167.2144415378571</v>
      </c>
      <c r="W32" s="6" t="n">
        <v>0</v>
      </c>
      <c r="X32" s="7" t="n">
        <v>0</v>
      </c>
      <c r="Y32" s="6" t="n">
        <v>5</v>
      </c>
      <c r="Z32" s="6" t="n">
        <v>0</v>
      </c>
      <c r="AA32" s="6" t="n">
        <v>0</v>
      </c>
      <c r="AB32" s="6" t="n">
        <v>0</v>
      </c>
      <c r="AC32" s="10" t="n">
        <v>2370</v>
      </c>
      <c r="AD32" s="10" t="n">
        <v>8060</v>
      </c>
      <c r="AE32" s="10" t="n">
        <v>7723</v>
      </c>
      <c r="AF32" s="11" t="n">
        <v>0.1169875</v>
      </c>
      <c r="AG32" s="11" t="n">
        <v>0.001863342645</v>
      </c>
      <c r="AH32" s="11" t="n">
        <v>0.00015</v>
      </c>
      <c r="AI32" s="12">
        <f>AF32+AG32+AH32</f>
        <v/>
      </c>
      <c r="AJ32" s="6" t="n">
        <v>0</v>
      </c>
      <c r="AK32" s="6" t="inlineStr">
        <is>
          <t>yes</t>
        </is>
      </c>
    </row>
    <row r="33">
      <c r="A33" s="5" t="n">
        <v>1</v>
      </c>
      <c r="B33" s="5" t="n">
        <v>16</v>
      </c>
      <c r="C33" s="5" t="inlineStr">
        <is>
          <t>easy2_8</t>
        </is>
      </c>
      <c r="D33" s="5" t="inlineStr">
        <is>
          <t>B0</t>
        </is>
      </c>
      <c r="E33" s="5" t="inlineStr">
        <is>
          <t>2nd</t>
        </is>
      </c>
      <c r="F33" s="5" t="inlineStr">
        <is>
          <t>easy2</t>
        </is>
      </c>
      <c r="G33" s="5" t="inlineStr">
        <is>
          <t>easy</t>
        </is>
      </c>
      <c r="H33" s="6" t="n">
        <v>1</v>
      </c>
      <c r="I33" s="6" t="n">
        <v>0</v>
      </c>
      <c r="J33" s="6" t="n">
        <v>1</v>
      </c>
      <c r="K33" s="6" t="n">
        <v>5</v>
      </c>
      <c r="L33" s="6" t="n">
        <v>4</v>
      </c>
      <c r="M33" s="6" t="n">
        <v>2</v>
      </c>
      <c r="N33" s="6" t="inlineStr">
        <is>
          <t>SUCCEEDED</t>
        </is>
      </c>
      <c r="O33" s="7" t="n">
        <v>118.548</v>
      </c>
      <c r="P33" s="7" t="n">
        <v>117.1854147911072</v>
      </c>
      <c r="Q33" s="7" t="n">
        <v>114.136570930481</v>
      </c>
      <c r="R33" s="7" t="n">
        <v>114.136570930481</v>
      </c>
      <c r="S33" s="8">
        <f>IF(N33="SUCCEEDED",P33/Q33,"")</f>
        <v/>
      </c>
      <c r="T33" s="8">
        <f>IF(N33="SUCCEEDED",P33/R33,"")</f>
        <v/>
      </c>
      <c r="U33" s="9">
        <f>IF(N33="SUCCEEDED",IF(D33="B0",O33-P33,O33-Q33),"")</f>
        <v/>
      </c>
      <c r="V33" s="7" t="n">
        <v>0.2467732429504395</v>
      </c>
      <c r="W33" s="6" t="n">
        <v>0</v>
      </c>
      <c r="X33" s="7" t="n">
        <v>0</v>
      </c>
      <c r="Y33" s="6" t="n">
        <v>5</v>
      </c>
      <c r="Z33" s="6" t="n">
        <v>0</v>
      </c>
      <c r="AA33" s="6" t="n">
        <v>0</v>
      </c>
      <c r="AB33" s="6" t="n">
        <v>0</v>
      </c>
      <c r="AC33" s="10" t="n">
        <v>2427</v>
      </c>
      <c r="AD33" s="10" t="n">
        <v>8085</v>
      </c>
      <c r="AE33" s="10" t="n">
        <v>7716</v>
      </c>
      <c r="AF33" s="11" t="n">
        <v>0.11743725</v>
      </c>
      <c r="AG33" s="11" t="n">
        <v>0.0007872905981</v>
      </c>
      <c r="AH33" s="11" t="n">
        <v>0.000125</v>
      </c>
      <c r="AI33" s="12">
        <f>AF33+AG33+AH33</f>
        <v/>
      </c>
      <c r="AJ33" s="6" t="n">
        <v>0</v>
      </c>
      <c r="AK33" s="6" t="inlineStr">
        <is>
          <t>yes</t>
        </is>
      </c>
    </row>
    <row r="34">
      <c r="A34" s="5" t="n">
        <v>1</v>
      </c>
      <c r="B34" s="5" t="n">
        <v>17</v>
      </c>
      <c r="C34" s="5" t="inlineStr">
        <is>
          <t>hard2_20</t>
        </is>
      </c>
      <c r="D34" s="5" t="inlineStr">
        <is>
          <t>B0</t>
        </is>
      </c>
      <c r="E34" s="5" t="inlineStr">
        <is>
          <t>1st</t>
        </is>
      </c>
      <c r="F34" s="5" t="inlineStr">
        <is>
          <t>hard2</t>
        </is>
      </c>
      <c r="G34" s="5" t="inlineStr">
        <is>
          <t>hard</t>
        </is>
      </c>
      <c r="H34" s="6" t="n">
        <v>0</v>
      </c>
      <c r="I34" s="6" t="n">
        <v>1</v>
      </c>
      <c r="J34" s="6" t="n">
        <v>0</v>
      </c>
      <c r="K34" s="6" t="n">
        <v>16</v>
      </c>
      <c r="L34" s="6" t="n">
        <v>10</v>
      </c>
      <c r="M34" s="6" t="n">
        <v>5</v>
      </c>
      <c r="N34" s="6" t="inlineStr">
        <is>
          <t>SUCCEEDED</t>
        </is>
      </c>
      <c r="O34" s="7" t="n">
        <v>322.778</v>
      </c>
      <c r="P34" s="7" t="n">
        <v>318.1066963672638</v>
      </c>
      <c r="Q34" s="7" t="n">
        <v>263.7176473140717</v>
      </c>
      <c r="R34" s="7" t="n">
        <v>274.2315211296082</v>
      </c>
      <c r="S34" s="8">
        <f>IF(N34="SUCCEEDED",P34/Q34,"")</f>
        <v/>
      </c>
      <c r="T34" s="8">
        <f>IF(N34="SUCCEEDED",P34/R34,"")</f>
        <v/>
      </c>
      <c r="U34" s="9">
        <f>IF(N34="SUCCEEDED",IF(D34="B0",O34-P34,O34-Q34),"")</f>
        <v/>
      </c>
      <c r="V34" s="7" t="n">
        <v>1.032798767089844</v>
      </c>
      <c r="W34" s="6" t="n">
        <v>0</v>
      </c>
      <c r="X34" s="7" t="n">
        <v>0</v>
      </c>
      <c r="Y34" s="6" t="n">
        <v>16</v>
      </c>
      <c r="Z34" s="6" t="n">
        <v>0</v>
      </c>
      <c r="AA34" s="6" t="n">
        <v>0</v>
      </c>
      <c r="AB34" s="6" t="n">
        <v>0</v>
      </c>
      <c r="AC34" s="10" t="n">
        <v>8490</v>
      </c>
      <c r="AD34" s="10" t="n">
        <v>25099</v>
      </c>
      <c r="AE34" s="10" t="n">
        <v>24456</v>
      </c>
      <c r="AF34" s="11" t="n">
        <v>0.3662434999999999</v>
      </c>
      <c r="AG34" s="11" t="n">
        <v>0.0021422973621</v>
      </c>
      <c r="AH34" s="11" t="n">
        <v>0.0004</v>
      </c>
      <c r="AI34" s="12">
        <f>AF34+AG34+AH34</f>
        <v/>
      </c>
      <c r="AJ34" s="6" t="n">
        <v>0</v>
      </c>
      <c r="AK34" s="6" t="inlineStr"/>
    </row>
    <row r="35">
      <c r="A35" s="5" t="n">
        <v>1</v>
      </c>
      <c r="B35" s="5" t="n">
        <v>17</v>
      </c>
      <c r="C35" s="5" t="inlineStr">
        <is>
          <t>hard2_20</t>
        </is>
      </c>
      <c r="D35" s="5" t="inlineStr">
        <is>
          <t>A1</t>
        </is>
      </c>
      <c r="E35" s="5" t="inlineStr">
        <is>
          <t>2nd</t>
        </is>
      </c>
      <c r="F35" s="5" t="inlineStr">
        <is>
          <t>hard2</t>
        </is>
      </c>
      <c r="G35" s="5" t="inlineStr">
        <is>
          <t>hard</t>
        </is>
      </c>
      <c r="H35" s="6" t="n">
        <v>0</v>
      </c>
      <c r="I35" s="6" t="n">
        <v>1</v>
      </c>
      <c r="J35" s="6" t="n">
        <v>0</v>
      </c>
      <c r="K35" s="6" t="n">
        <v>16</v>
      </c>
      <c r="L35" s="6" t="n">
        <v>10</v>
      </c>
      <c r="M35" s="6" t="n">
        <v>5</v>
      </c>
      <c r="N35" s="6" t="inlineStr">
        <is>
          <t>SUCCEEDED</t>
        </is>
      </c>
      <c r="O35" s="7" t="n">
        <v>145.188</v>
      </c>
      <c r="P35" s="7" t="n">
        <v>205.2078793048859</v>
      </c>
      <c r="Q35" s="7" t="n">
        <v>143.1622948646545</v>
      </c>
      <c r="R35" s="7" t="n">
        <v>159.4332065582275</v>
      </c>
      <c r="S35" s="8">
        <f>IF(N35="SUCCEEDED",P35/Q35,"")</f>
        <v/>
      </c>
      <c r="T35" s="8">
        <f>IF(N35="SUCCEEDED",P35/R35,"")</f>
        <v/>
      </c>
      <c r="U35" s="9">
        <f>IF(N35="SUCCEEDED",IF(D35="B0",O35-P35,O35-Q35),"")</f>
        <v/>
      </c>
      <c r="V35" s="7" t="n">
        <v>606.0201845169067</v>
      </c>
      <c r="W35" s="6" t="n">
        <v>0</v>
      </c>
      <c r="X35" s="7" t="n">
        <v>0</v>
      </c>
      <c r="Y35" s="6" t="n">
        <v>16</v>
      </c>
      <c r="Z35" s="6" t="n">
        <v>0</v>
      </c>
      <c r="AA35" s="6" t="n">
        <v>0</v>
      </c>
      <c r="AB35" s="6" t="n">
        <v>0</v>
      </c>
      <c r="AC35" s="10" t="n">
        <v>8639</v>
      </c>
      <c r="AD35" s="10" t="n">
        <v>14287</v>
      </c>
      <c r="AE35" s="10" t="n">
        <v>13534</v>
      </c>
      <c r="AF35" s="11" t="n">
        <v>0.21513625</v>
      </c>
      <c r="AG35" s="11" t="n">
        <v>0.005421993760500001</v>
      </c>
      <c r="AH35" s="11" t="n">
        <v>0.000425</v>
      </c>
      <c r="AI35" s="12">
        <f>AF35+AG35+AH35</f>
        <v/>
      </c>
      <c r="AJ35" s="6" t="n">
        <v>0</v>
      </c>
      <c r="AK35" s="6" t="inlineStr"/>
    </row>
    <row r="36">
      <c r="A36" s="5" t="n">
        <v>1</v>
      </c>
      <c r="B36" s="5" t="n">
        <v>18</v>
      </c>
      <c r="C36" s="5" t="inlineStr">
        <is>
          <t>med3_11</t>
        </is>
      </c>
      <c r="D36" s="5" t="inlineStr">
        <is>
          <t>A1</t>
        </is>
      </c>
      <c r="E36" s="5" t="inlineStr">
        <is>
          <t>1st</t>
        </is>
      </c>
      <c r="F36" s="5" t="inlineStr">
        <is>
          <t>med3</t>
        </is>
      </c>
      <c r="G36" s="5" t="inlineStr">
        <is>
          <t>medium</t>
        </is>
      </c>
      <c r="H36" s="6" t="n">
        <v>0</v>
      </c>
      <c r="I36" s="6" t="n">
        <v>1</v>
      </c>
      <c r="J36" s="6" t="n">
        <v>0</v>
      </c>
      <c r="K36" s="6" t="n">
        <v>11</v>
      </c>
      <c r="L36" s="6" t="n">
        <v>6</v>
      </c>
      <c r="M36" s="6" t="n">
        <v>2</v>
      </c>
      <c r="N36" s="6" t="inlineStr">
        <is>
          <t>SUCCEEDED</t>
        </is>
      </c>
      <c r="O36" s="7" t="n">
        <v>206.717</v>
      </c>
      <c r="P36" s="7" t="n">
        <v>315.1560008525848</v>
      </c>
      <c r="Q36" s="7" t="n">
        <v>205.4662134647369</v>
      </c>
      <c r="R36" s="7" t="n">
        <v>205.4662134647369</v>
      </c>
      <c r="S36" s="8">
        <f>IF(N36="SUCCEEDED",P36/Q36,"")</f>
        <v/>
      </c>
      <c r="T36" s="8">
        <f>IF(N36="SUCCEEDED",P36/R36,"")</f>
        <v/>
      </c>
      <c r="U36" s="9">
        <f>IF(N36="SUCCEEDED",IF(D36="B0",O36-P36,O36-Q36),"")</f>
        <v/>
      </c>
      <c r="V36" s="7" t="n">
        <v>667.0384147167206</v>
      </c>
      <c r="W36" s="6" t="n">
        <v>0</v>
      </c>
      <c r="X36" s="7" t="n">
        <v>0</v>
      </c>
      <c r="Y36" s="6" t="n">
        <v>11</v>
      </c>
      <c r="Z36" s="6" t="n">
        <v>0</v>
      </c>
      <c r="AA36" s="6" t="n">
        <v>0</v>
      </c>
      <c r="AB36" s="6" t="n">
        <v>0</v>
      </c>
      <c r="AC36" s="10" t="n">
        <v>6305</v>
      </c>
      <c r="AD36" s="10" t="n">
        <v>22585</v>
      </c>
      <c r="AE36" s="10" t="n">
        <v>22084</v>
      </c>
      <c r="AF36" s="11" t="n">
        <v>0.32722375</v>
      </c>
      <c r="AG36" s="11" t="n">
        <v>0.0065583794474</v>
      </c>
      <c r="AH36" s="11" t="n">
        <v>0.0003</v>
      </c>
      <c r="AI36" s="12">
        <f>AF36+AG36+AH36</f>
        <v/>
      </c>
      <c r="AJ36" s="6" t="n">
        <v>0</v>
      </c>
      <c r="AK36" s="6" t="inlineStr"/>
    </row>
    <row r="37">
      <c r="A37" s="5" t="n">
        <v>1</v>
      </c>
      <c r="B37" s="5" t="n">
        <v>18</v>
      </c>
      <c r="C37" s="5" t="inlineStr">
        <is>
          <t>med3_11</t>
        </is>
      </c>
      <c r="D37" s="5" t="inlineStr">
        <is>
          <t>B0</t>
        </is>
      </c>
      <c r="E37" s="5" t="inlineStr">
        <is>
          <t>2nd</t>
        </is>
      </c>
      <c r="F37" s="5" t="inlineStr">
        <is>
          <t>med3</t>
        </is>
      </c>
      <c r="G37" s="5" t="inlineStr">
        <is>
          <t>medium</t>
        </is>
      </c>
      <c r="H37" s="6" t="n">
        <v>0</v>
      </c>
      <c r="I37" s="6" t="n">
        <v>1</v>
      </c>
      <c r="J37" s="6" t="n">
        <v>0</v>
      </c>
      <c r="K37" s="6" t="n">
        <v>11</v>
      </c>
      <c r="L37" s="6" t="n">
        <v>6</v>
      </c>
      <c r="M37" s="6" t="n">
        <v>2</v>
      </c>
      <c r="N37" s="6" t="inlineStr">
        <is>
          <t>SUCCEEDED</t>
        </is>
      </c>
      <c r="O37" s="7" t="n">
        <v>285.665</v>
      </c>
      <c r="P37" s="7" t="n">
        <v>281.7859725952148</v>
      </c>
      <c r="Q37" s="7" t="n">
        <v>201.4911072254181</v>
      </c>
      <c r="R37" s="7" t="n">
        <v>211.2257554531097</v>
      </c>
      <c r="S37" s="8">
        <f>IF(N37="SUCCEEDED",P37/Q37,"")</f>
        <v/>
      </c>
      <c r="T37" s="8">
        <f>IF(N37="SUCCEEDED",P37/R37,"")</f>
        <v/>
      </c>
      <c r="U37" s="9">
        <f>IF(N37="SUCCEEDED",IF(D37="B0",O37-P37,O37-Q37),"")</f>
        <v/>
      </c>
      <c r="V37" s="7" t="n">
        <v>0.7033584117889404</v>
      </c>
      <c r="W37" s="6" t="n">
        <v>1</v>
      </c>
      <c r="X37" s="7" t="n">
        <v>0.5382</v>
      </c>
      <c r="Y37" s="6" t="n">
        <v>11</v>
      </c>
      <c r="Z37" s="6" t="n">
        <v>0</v>
      </c>
      <c r="AA37" s="6" t="n">
        <v>0</v>
      </c>
      <c r="AB37" s="6" t="n">
        <v>0</v>
      </c>
      <c r="AC37" s="10" t="n">
        <v>6306</v>
      </c>
      <c r="AD37" s="10" t="n">
        <v>20425</v>
      </c>
      <c r="AE37" s="10" t="n">
        <v>19942</v>
      </c>
      <c r="AF37" s="11" t="n">
        <v>0.2969855</v>
      </c>
      <c r="AG37" s="11" t="n">
        <v>0.0018964961381</v>
      </c>
      <c r="AH37" s="11" t="n">
        <v>0.000275</v>
      </c>
      <c r="AI37" s="12">
        <f>AF37+AG37+AH37</f>
        <v/>
      </c>
      <c r="AJ37" s="6" t="n">
        <v>0</v>
      </c>
      <c r="AK37" s="6" t="inlineStr"/>
    </row>
    <row r="38">
      <c r="A38" s="5" t="n">
        <v>1</v>
      </c>
      <c r="B38" s="5" t="n">
        <v>19</v>
      </c>
      <c r="C38" s="5" t="inlineStr">
        <is>
          <t>med2_45</t>
        </is>
      </c>
      <c r="D38" s="5" t="inlineStr">
        <is>
          <t>B0</t>
        </is>
      </c>
      <c r="E38" s="5" t="inlineStr">
        <is>
          <t>1st</t>
        </is>
      </c>
      <c r="F38" s="5" t="inlineStr">
        <is>
          <t>med2</t>
        </is>
      </c>
      <c r="G38" s="5" t="inlineStr">
        <is>
          <t>medium</t>
        </is>
      </c>
      <c r="H38" s="6" t="n">
        <v>0</v>
      </c>
      <c r="I38" s="6" t="n">
        <v>0</v>
      </c>
      <c r="J38" s="6" t="n">
        <v>0</v>
      </c>
      <c r="K38" s="6" t="n">
        <v>9</v>
      </c>
      <c r="L38" s="6" t="n">
        <v>4</v>
      </c>
      <c r="M38" s="6" t="n">
        <v>5</v>
      </c>
      <c r="N38" s="6" t="inlineStr">
        <is>
          <t>SUCCEEDED</t>
        </is>
      </c>
      <c r="O38" s="7" t="n">
        <v>187.303</v>
      </c>
      <c r="P38" s="7" t="n">
        <v>185.0054004192352</v>
      </c>
      <c r="Q38" s="7" t="n">
        <v>125.4558346271515</v>
      </c>
      <c r="R38" s="7" t="n">
        <v>131.8203823566437</v>
      </c>
      <c r="S38" s="8">
        <f>IF(N38="SUCCEEDED",P38/Q38,"")</f>
        <v/>
      </c>
      <c r="T38" s="8">
        <f>IF(N38="SUCCEEDED",P38/R38,"")</f>
        <v/>
      </c>
      <c r="U38" s="9">
        <f>IF(N38="SUCCEEDED",IF(D38="B0",O38-P38,O38-Q38),"")</f>
        <v/>
      </c>
      <c r="V38" s="7" t="n">
        <v>0.435014009475708</v>
      </c>
      <c r="W38" s="6" t="n">
        <v>0</v>
      </c>
      <c r="X38" s="7" t="n">
        <v>0</v>
      </c>
      <c r="Y38" s="6" t="n">
        <v>9</v>
      </c>
      <c r="Z38" s="6" t="n">
        <v>0</v>
      </c>
      <c r="AA38" s="6" t="n">
        <v>0</v>
      </c>
      <c r="AB38" s="6" t="n">
        <v>0</v>
      </c>
      <c r="AC38" s="10" t="n">
        <v>3900</v>
      </c>
      <c r="AD38" s="10" t="n">
        <v>12797</v>
      </c>
      <c r="AE38" s="10" t="n">
        <v>12413</v>
      </c>
      <c r="AF38" s="11" t="n">
        <v>0.185983</v>
      </c>
      <c r="AG38" s="11" t="n">
        <v>0.0012442928791</v>
      </c>
      <c r="AH38" s="11" t="n">
        <v>0.000225</v>
      </c>
      <c r="AI38" s="12">
        <f>AF38+AG38+AH38</f>
        <v/>
      </c>
      <c r="AJ38" s="6" t="n">
        <v>0</v>
      </c>
      <c r="AK38" s="6" t="inlineStr"/>
    </row>
    <row r="39">
      <c r="A39" s="5" t="n">
        <v>1</v>
      </c>
      <c r="B39" s="5" t="n">
        <v>19</v>
      </c>
      <c r="C39" s="5" t="inlineStr">
        <is>
          <t>med2_45</t>
        </is>
      </c>
      <c r="D39" s="5" t="inlineStr">
        <is>
          <t>A1</t>
        </is>
      </c>
      <c r="E39" s="5" t="inlineStr">
        <is>
          <t>2nd</t>
        </is>
      </c>
      <c r="F39" s="5" t="inlineStr">
        <is>
          <t>med2</t>
        </is>
      </c>
      <c r="G39" s="5" t="inlineStr">
        <is>
          <t>medium</t>
        </is>
      </c>
      <c r="H39" s="6" t="n">
        <v>0</v>
      </c>
      <c r="I39" s="6" t="n">
        <v>0</v>
      </c>
      <c r="J39" s="6" t="n">
        <v>0</v>
      </c>
      <c r="K39" s="6" t="n">
        <v>9</v>
      </c>
      <c r="L39" s="6" t="n">
        <v>4</v>
      </c>
      <c r="M39" s="6" t="n">
        <v>5</v>
      </c>
      <c r="N39" s="6" t="inlineStr">
        <is>
          <t>SUCCEEDED</t>
        </is>
      </c>
      <c r="O39" s="7" t="n">
        <v>145.361</v>
      </c>
      <c r="P39" s="7" t="n">
        <v>228.7846667766571</v>
      </c>
      <c r="Q39" s="7" t="n">
        <v>144.4853653907776</v>
      </c>
      <c r="R39" s="7" t="n">
        <v>161.6456179618835</v>
      </c>
      <c r="S39" s="8">
        <f>IF(N39="SUCCEEDED",P39/Q39,"")</f>
        <v/>
      </c>
      <c r="T39" s="8">
        <f>IF(N39="SUCCEEDED",P39/R39,"")</f>
        <v/>
      </c>
      <c r="U39" s="9">
        <f>IF(N39="SUCCEEDED",IF(D39="B0",O39-P39,O39-Q39),"")</f>
        <v/>
      </c>
      <c r="V39" s="7" t="n">
        <v>185.8871495723724</v>
      </c>
      <c r="W39" s="6" t="n">
        <v>0</v>
      </c>
      <c r="X39" s="7" t="n">
        <v>0</v>
      </c>
      <c r="Y39" s="6" t="n">
        <v>9</v>
      </c>
      <c r="Z39" s="6" t="n">
        <v>0</v>
      </c>
      <c r="AA39" s="6" t="n">
        <v>0</v>
      </c>
      <c r="AB39" s="6" t="n">
        <v>0</v>
      </c>
      <c r="AC39" s="10" t="n">
        <v>3888</v>
      </c>
      <c r="AD39" s="10" t="n">
        <v>16465</v>
      </c>
      <c r="AE39" s="10" t="n">
        <v>16084</v>
      </c>
      <c r="AF39" s="11" t="n">
        <v>0.237314</v>
      </c>
      <c r="AG39" s="11" t="n">
        <v>0.002772213852</v>
      </c>
      <c r="AH39" s="11" t="n">
        <v>0.00025</v>
      </c>
      <c r="AI39" s="12">
        <f>AF39+AG39+AH39</f>
        <v/>
      </c>
      <c r="AJ39" s="6" t="n">
        <v>0</v>
      </c>
      <c r="AK39" s="6" t="inlineStr"/>
    </row>
    <row r="40">
      <c r="A40" s="5" t="n">
        <v>1</v>
      </c>
      <c r="B40" s="5" t="n">
        <v>20</v>
      </c>
      <c r="C40" s="5" t="inlineStr">
        <is>
          <t>easy1_14</t>
        </is>
      </c>
      <c r="D40" s="5" t="inlineStr">
        <is>
          <t>A1</t>
        </is>
      </c>
      <c r="E40" s="5" t="inlineStr">
        <is>
          <t>1st</t>
        </is>
      </c>
      <c r="F40" s="5" t="inlineStr">
        <is>
          <t>easy1</t>
        </is>
      </c>
      <c r="G40" s="5" t="inlineStr">
        <is>
          <t>easy</t>
        </is>
      </c>
      <c r="H40" s="6" t="n">
        <v>1</v>
      </c>
      <c r="I40" s="6" t="n">
        <v>0</v>
      </c>
      <c r="J40" s="6" t="n">
        <v>0</v>
      </c>
      <c r="K40" s="6" t="n">
        <v>5</v>
      </c>
      <c r="L40" s="6" t="n">
        <v>4</v>
      </c>
      <c r="M40" s="6" t="n">
        <v>2</v>
      </c>
      <c r="N40" s="6" t="inlineStr">
        <is>
          <t>SUCCEEDED</t>
        </is>
      </c>
      <c r="O40" s="7" t="n">
        <v>66.03400000000001</v>
      </c>
      <c r="P40" s="7" t="n">
        <v>86.93578100204468</v>
      </c>
      <c r="Q40" s="7" t="n">
        <v>65.53678035736084</v>
      </c>
      <c r="R40" s="7" t="n">
        <v>78.4050624370575</v>
      </c>
      <c r="S40" s="8">
        <f>IF(N40="SUCCEEDED",P40/Q40,"")</f>
        <v/>
      </c>
      <c r="T40" s="8">
        <f>IF(N40="SUCCEEDED",P40/R40,"")</f>
        <v/>
      </c>
      <c r="U40" s="9">
        <f>IF(N40="SUCCEEDED",IF(D40="B0",O40-P40,O40-Q40),"")</f>
        <v/>
      </c>
      <c r="V40" s="7" t="n">
        <v>82.99160051345825</v>
      </c>
      <c r="W40" s="6" t="n">
        <v>0</v>
      </c>
      <c r="X40" s="7" t="n">
        <v>0</v>
      </c>
      <c r="Y40" s="6" t="n">
        <v>5</v>
      </c>
      <c r="Z40" s="6" t="n">
        <v>0</v>
      </c>
      <c r="AA40" s="6" t="n">
        <v>0</v>
      </c>
      <c r="AB40" s="6" t="n">
        <v>0</v>
      </c>
      <c r="AC40" s="10" t="n">
        <v>2152</v>
      </c>
      <c r="AD40" s="10" t="n">
        <v>5408</v>
      </c>
      <c r="AE40" s="10" t="n">
        <v>5179</v>
      </c>
      <c r="AF40" s="11" t="n">
        <v>0.07947800000000001</v>
      </c>
      <c r="AG40" s="11" t="n">
        <v>0.001137472349</v>
      </c>
      <c r="AH40" s="11" t="n">
        <v>0.00015</v>
      </c>
      <c r="AI40" s="12">
        <f>AF40+AG40+AH40</f>
        <v/>
      </c>
      <c r="AJ40" s="6" t="n">
        <v>0</v>
      </c>
      <c r="AK40" s="6" t="inlineStr"/>
    </row>
    <row r="41">
      <c r="A41" s="5" t="n">
        <v>1</v>
      </c>
      <c r="B41" s="5" t="n">
        <v>20</v>
      </c>
      <c r="C41" s="5" t="inlineStr">
        <is>
          <t>easy1_14</t>
        </is>
      </c>
      <c r="D41" s="5" t="inlineStr">
        <is>
          <t>B0</t>
        </is>
      </c>
      <c r="E41" s="5" t="inlineStr">
        <is>
          <t>2nd</t>
        </is>
      </c>
      <c r="F41" s="5" t="inlineStr">
        <is>
          <t>easy1</t>
        </is>
      </c>
      <c r="G41" s="5" t="inlineStr">
        <is>
          <t>easy</t>
        </is>
      </c>
      <c r="H41" s="6" t="n">
        <v>1</v>
      </c>
      <c r="I41" s="6" t="n">
        <v>0</v>
      </c>
      <c r="J41" s="6" t="n">
        <v>0</v>
      </c>
      <c r="K41" s="6" t="n">
        <v>5</v>
      </c>
      <c r="L41" s="6" t="n">
        <v>4</v>
      </c>
      <c r="M41" s="6" t="n">
        <v>2</v>
      </c>
      <c r="N41" s="6" t="inlineStr">
        <is>
          <t>SUCCEEDED</t>
        </is>
      </c>
      <c r="O41" s="7" t="n">
        <v>59.275</v>
      </c>
      <c r="P41" s="7" t="n">
        <v>57.95114994049072</v>
      </c>
      <c r="Q41" s="7" t="n">
        <v>41.66449213027954</v>
      </c>
      <c r="R41" s="7" t="n">
        <v>51.59932827949524</v>
      </c>
      <c r="S41" s="8">
        <f>IF(N41="SUCCEEDED",P41/Q41,"")</f>
        <v/>
      </c>
      <c r="T41" s="8">
        <f>IF(N41="SUCCEEDED",P41/R41,"")</f>
        <v/>
      </c>
      <c r="U41" s="9">
        <f>IF(N41="SUCCEEDED",IF(D41="B0",O41-P41,O41-Q41),"")</f>
        <v/>
      </c>
      <c r="V41" s="7" t="n">
        <v>0.2155482769012451</v>
      </c>
      <c r="W41" s="6" t="n">
        <v>0</v>
      </c>
      <c r="X41" s="7" t="n">
        <v>0</v>
      </c>
      <c r="Y41" s="6" t="n">
        <v>5</v>
      </c>
      <c r="Z41" s="6" t="n">
        <v>0</v>
      </c>
      <c r="AA41" s="6" t="n">
        <v>0</v>
      </c>
      <c r="AB41" s="6" t="n">
        <v>0</v>
      </c>
      <c r="AC41" s="10" t="n">
        <v>2156</v>
      </c>
      <c r="AD41" s="10" t="n">
        <v>4450</v>
      </c>
      <c r="AE41" s="10" t="n">
        <v>4222</v>
      </c>
      <c r="AF41" s="11" t="n">
        <v>0.06607300000000001</v>
      </c>
      <c r="AG41" s="11" t="n">
        <v>0.0003922952898</v>
      </c>
      <c r="AH41" s="11" t="n">
        <v>0.000125</v>
      </c>
      <c r="AI41" s="12">
        <f>AF41+AG41+AH41</f>
        <v/>
      </c>
      <c r="AJ41" s="6" t="n">
        <v>0</v>
      </c>
      <c r="AK41" s="6" t="inlineStr"/>
    </row>
    <row r="42">
      <c r="A42" s="5" t="n">
        <v>1</v>
      </c>
      <c r="B42" s="5" t="n">
        <v>21</v>
      </c>
      <c r="C42" s="5" t="inlineStr">
        <is>
          <t>easy1_47</t>
        </is>
      </c>
      <c r="D42" s="5" t="inlineStr">
        <is>
          <t>B0</t>
        </is>
      </c>
      <c r="E42" s="5" t="inlineStr">
        <is>
          <t>1st</t>
        </is>
      </c>
      <c r="F42" s="5" t="inlineStr">
        <is>
          <t>easy1</t>
        </is>
      </c>
      <c r="G42" s="5" t="inlineStr">
        <is>
          <t>easy</t>
        </is>
      </c>
      <c r="H42" s="6" t="n">
        <v>1</v>
      </c>
      <c r="I42" s="6" t="n">
        <v>0</v>
      </c>
      <c r="J42" s="6" t="n">
        <v>0</v>
      </c>
      <c r="K42" s="6" t="n">
        <v>5</v>
      </c>
      <c r="L42" s="6" t="n">
        <v>4</v>
      </c>
      <c r="M42" s="6" t="n">
        <v>2</v>
      </c>
      <c r="N42" s="6" t="inlineStr">
        <is>
          <t>SUCCEEDED</t>
        </is>
      </c>
      <c r="O42" s="7" t="n">
        <v>54.65</v>
      </c>
      <c r="P42" s="7" t="n">
        <v>53.24431967735291</v>
      </c>
      <c r="Q42" s="7" t="n">
        <v>34.71492695808411</v>
      </c>
      <c r="R42" s="7" t="n">
        <v>48.13429188728333</v>
      </c>
      <c r="S42" s="8">
        <f>IF(N42="SUCCEEDED",P42/Q42,"")</f>
        <v/>
      </c>
      <c r="T42" s="8">
        <f>IF(N42="SUCCEEDED",P42/R42,"")</f>
        <v/>
      </c>
      <c r="U42" s="9">
        <f>IF(N42="SUCCEEDED",IF(D42="B0",O42-P42,O42-Q42),"")</f>
        <v/>
      </c>
      <c r="V42" s="7" t="n">
        <v>0.2272682189941406</v>
      </c>
      <c r="W42" s="6" t="n">
        <v>0</v>
      </c>
      <c r="X42" s="7" t="n">
        <v>0</v>
      </c>
      <c r="Y42" s="6" t="n">
        <v>5</v>
      </c>
      <c r="Z42" s="6" t="n">
        <v>0</v>
      </c>
      <c r="AA42" s="6" t="n">
        <v>0</v>
      </c>
      <c r="AB42" s="6" t="n">
        <v>0</v>
      </c>
      <c r="AC42" s="10" t="n">
        <v>2211</v>
      </c>
      <c r="AD42" s="10" t="n">
        <v>3235</v>
      </c>
      <c r="AE42" s="10" t="n">
        <v>3004</v>
      </c>
      <c r="AF42" s="11" t="n">
        <v>0.04915925</v>
      </c>
      <c r="AG42" s="11" t="n">
        <v>0.0003608417992</v>
      </c>
      <c r="AH42" s="11" t="n">
        <v>0.000125</v>
      </c>
      <c r="AI42" s="12">
        <f>AF42+AG42+AH42</f>
        <v/>
      </c>
      <c r="AJ42" s="6" t="n">
        <v>1</v>
      </c>
      <c r="AK42" s="6" t="inlineStr"/>
    </row>
    <row r="43">
      <c r="A43" s="5" t="n">
        <v>1</v>
      </c>
      <c r="B43" s="5" t="n">
        <v>21</v>
      </c>
      <c r="C43" s="5" t="inlineStr">
        <is>
          <t>easy1_47</t>
        </is>
      </c>
      <c r="D43" s="5" t="inlineStr">
        <is>
          <t>A1</t>
        </is>
      </c>
      <c r="E43" s="5" t="inlineStr">
        <is>
          <t>2nd</t>
        </is>
      </c>
      <c r="F43" s="5" t="inlineStr">
        <is>
          <t>easy1</t>
        </is>
      </c>
      <c r="G43" s="5" t="inlineStr">
        <is>
          <t>easy</t>
        </is>
      </c>
      <c r="H43" s="6" t="n">
        <v>1</v>
      </c>
      <c r="I43" s="6" t="n">
        <v>0</v>
      </c>
      <c r="J43" s="6" t="n">
        <v>0</v>
      </c>
      <c r="K43" s="6" t="n">
        <v>5</v>
      </c>
      <c r="L43" s="6" t="n">
        <v>4</v>
      </c>
      <c r="M43" s="6" t="n">
        <v>2</v>
      </c>
      <c r="N43" s="6" t="inlineStr">
        <is>
          <t>SUCCEEDED</t>
        </is>
      </c>
      <c r="O43" s="7" t="n">
        <v>36.601</v>
      </c>
      <c r="P43" s="7" t="n">
        <v>52.39030957221985</v>
      </c>
      <c r="Q43" s="7" t="n">
        <v>36.07069039344788</v>
      </c>
      <c r="R43" s="7" t="n">
        <v>47.94802737236023</v>
      </c>
      <c r="S43" s="8">
        <f>IF(N43="SUCCEEDED",P43/Q43,"")</f>
        <v/>
      </c>
      <c r="T43" s="8">
        <f>IF(N43="SUCCEEDED",P43/R43,"")</f>
        <v/>
      </c>
      <c r="U43" s="9">
        <f>IF(N43="SUCCEEDED",IF(D43="B0",O43-P43,O43-Q43),"")</f>
        <v/>
      </c>
      <c r="V43" s="7" t="n">
        <v>49.35637497901917</v>
      </c>
      <c r="W43" s="6" t="n">
        <v>0</v>
      </c>
      <c r="X43" s="7" t="n">
        <v>0</v>
      </c>
      <c r="Y43" s="6" t="n">
        <v>5</v>
      </c>
      <c r="Z43" s="6" t="n">
        <v>0</v>
      </c>
      <c r="AA43" s="6" t="n">
        <v>0</v>
      </c>
      <c r="AB43" s="6" t="n">
        <v>0</v>
      </c>
      <c r="AC43" s="10" t="n">
        <v>2216</v>
      </c>
      <c r="AD43" s="10" t="n">
        <v>3801</v>
      </c>
      <c r="AE43" s="10" t="n">
        <v>3570</v>
      </c>
      <c r="AF43" s="11" t="n">
        <v>0.057092</v>
      </c>
      <c r="AG43" s="11" t="n">
        <v>0.0006826900751</v>
      </c>
      <c r="AH43" s="11" t="n">
        <v>0.00015</v>
      </c>
      <c r="AI43" s="12">
        <f>AF43+AG43+AH43</f>
        <v/>
      </c>
      <c r="AJ43" s="6" t="n">
        <v>1</v>
      </c>
      <c r="AK43" s="6" t="inlineStr"/>
    </row>
    <row r="44">
      <c r="A44" s="5" t="n">
        <v>1</v>
      </c>
      <c r="B44" s="5" t="n">
        <v>22</v>
      </c>
      <c r="C44" s="5" t="inlineStr">
        <is>
          <t>med2_19</t>
        </is>
      </c>
      <c r="D44" s="5" t="inlineStr">
        <is>
          <t>A1</t>
        </is>
      </c>
      <c r="E44" s="5" t="inlineStr">
        <is>
          <t>1st</t>
        </is>
      </c>
      <c r="F44" s="5" t="inlineStr">
        <is>
          <t>med2</t>
        </is>
      </c>
      <c r="G44" s="5" t="inlineStr">
        <is>
          <t>medium</t>
        </is>
      </c>
      <c r="H44" s="6" t="n">
        <v>0</v>
      </c>
      <c r="I44" s="6" t="n">
        <v>0</v>
      </c>
      <c r="J44" s="6" t="n">
        <v>0</v>
      </c>
      <c r="K44" s="6" t="n">
        <v>9</v>
      </c>
      <c r="L44" s="6" t="n">
        <v>4</v>
      </c>
      <c r="M44" s="6" t="n">
        <v>5</v>
      </c>
      <c r="N44" s="6" t="inlineStr">
        <is>
          <t>SUCCEEDED</t>
        </is>
      </c>
      <c r="O44" s="7" t="n">
        <v>102.171</v>
      </c>
      <c r="P44" s="7" t="n">
        <v>168.5719354152679</v>
      </c>
      <c r="Q44" s="7" t="n">
        <v>101.0446763038635</v>
      </c>
      <c r="R44" s="7" t="n">
        <v>123.6070942878723</v>
      </c>
      <c r="S44" s="8">
        <f>IF(N44="SUCCEEDED",P44/Q44,"")</f>
        <v/>
      </c>
      <c r="T44" s="8">
        <f>IF(N44="SUCCEEDED",P44/R44,"")</f>
        <v/>
      </c>
      <c r="U44" s="9">
        <f>IF(N44="SUCCEEDED",IF(D44="B0",O44-P44,O44-Q44),"")</f>
        <v/>
      </c>
      <c r="V44" s="7" t="n">
        <v>136.5010590553284</v>
      </c>
      <c r="W44" s="6" t="n">
        <v>0</v>
      </c>
      <c r="X44" s="7" t="n">
        <v>0</v>
      </c>
      <c r="Y44" s="6" t="n">
        <v>9</v>
      </c>
      <c r="Z44" s="6" t="n">
        <v>0</v>
      </c>
      <c r="AA44" s="6" t="n">
        <v>0</v>
      </c>
      <c r="AB44" s="6" t="n">
        <v>0</v>
      </c>
      <c r="AC44" s="10" t="n">
        <v>3875</v>
      </c>
      <c r="AD44" s="10" t="n">
        <v>11997</v>
      </c>
      <c r="AE44" s="10" t="n">
        <v>11617</v>
      </c>
      <c r="AF44" s="11" t="n">
        <v>0.17473925</v>
      </c>
      <c r="AG44" s="11" t="n">
        <v>0.002042743538</v>
      </c>
      <c r="AH44" s="11" t="n">
        <v>0.00025</v>
      </c>
      <c r="AI44" s="12">
        <f>AF44+AG44+AH44</f>
        <v/>
      </c>
      <c r="AJ44" s="6" t="n">
        <v>0</v>
      </c>
      <c r="AK44" s="6" t="inlineStr"/>
    </row>
    <row r="45">
      <c r="A45" s="5" t="n">
        <v>1</v>
      </c>
      <c r="B45" s="5" t="n">
        <v>22</v>
      </c>
      <c r="C45" s="5" t="inlineStr">
        <is>
          <t>med2_19</t>
        </is>
      </c>
      <c r="D45" s="5" t="inlineStr">
        <is>
          <t>B0</t>
        </is>
      </c>
      <c r="E45" s="5" t="inlineStr">
        <is>
          <t>2nd</t>
        </is>
      </c>
      <c r="F45" s="5" t="inlineStr">
        <is>
          <t>med2</t>
        </is>
      </c>
      <c r="G45" s="5" t="inlineStr">
        <is>
          <t>medium</t>
        </is>
      </c>
      <c r="H45" s="6" t="n">
        <v>0</v>
      </c>
      <c r="I45" s="6" t="n">
        <v>0</v>
      </c>
      <c r="J45" s="6" t="n">
        <v>0</v>
      </c>
      <c r="K45" s="6" t="n">
        <v>9</v>
      </c>
      <c r="L45" s="6" t="n">
        <v>4</v>
      </c>
      <c r="M45" s="6" t="n">
        <v>5</v>
      </c>
      <c r="N45" s="6" t="inlineStr">
        <is>
          <t>SUCCEEDED</t>
        </is>
      </c>
      <c r="O45" s="7" t="n">
        <v>185.213</v>
      </c>
      <c r="P45" s="7" t="n">
        <v>182.6951038837433</v>
      </c>
      <c r="Q45" s="7" t="n">
        <v>127.1752343177795</v>
      </c>
      <c r="R45" s="7" t="n">
        <v>140.3076555728912</v>
      </c>
      <c r="S45" s="8">
        <f>IF(N45="SUCCEEDED",P45/Q45,"")</f>
        <v/>
      </c>
      <c r="T45" s="8">
        <f>IF(N45="SUCCEEDED",P45/R45,"")</f>
        <v/>
      </c>
      <c r="U45" s="9">
        <f>IF(N45="SUCCEEDED",IF(D45="B0",O45-P45,O45-Q45),"")</f>
        <v/>
      </c>
      <c r="V45" s="7" t="n">
        <v>0.4666385650634766</v>
      </c>
      <c r="W45" s="6" t="n">
        <v>0</v>
      </c>
      <c r="X45" s="7" t="n">
        <v>0</v>
      </c>
      <c r="Y45" s="6" t="n">
        <v>9</v>
      </c>
      <c r="Z45" s="6" t="n">
        <v>0</v>
      </c>
      <c r="AA45" s="6" t="n">
        <v>0</v>
      </c>
      <c r="AB45" s="6" t="n">
        <v>0</v>
      </c>
      <c r="AC45" s="10" t="n">
        <v>3880</v>
      </c>
      <c r="AD45" s="10" t="n">
        <v>13918</v>
      </c>
      <c r="AE45" s="10" t="n">
        <v>13542</v>
      </c>
      <c r="AF45" s="11" t="n">
        <v>0.201642</v>
      </c>
      <c r="AG45" s="11" t="n">
        <v>0.0012294128047</v>
      </c>
      <c r="AH45" s="11" t="n">
        <v>0.000225</v>
      </c>
      <c r="AI45" s="12">
        <f>AF45+AG45+AH45</f>
        <v/>
      </c>
      <c r="AJ45" s="6" t="n">
        <v>0</v>
      </c>
      <c r="AK45" s="6" t="inlineStr"/>
    </row>
    <row r="46">
      <c r="A46" s="5" t="n">
        <v>1</v>
      </c>
      <c r="B46" s="5" t="n">
        <v>23</v>
      </c>
      <c r="C46" s="5" t="inlineStr">
        <is>
          <t>med3_5</t>
        </is>
      </c>
      <c r="D46" s="5" t="inlineStr">
        <is>
          <t>B0</t>
        </is>
      </c>
      <c r="E46" s="5" t="inlineStr">
        <is>
          <t>1st</t>
        </is>
      </c>
      <c r="F46" s="5" t="inlineStr">
        <is>
          <t>med3</t>
        </is>
      </c>
      <c r="G46" s="5" t="inlineStr">
        <is>
          <t>medium</t>
        </is>
      </c>
      <c r="H46" s="6" t="n">
        <v>0</v>
      </c>
      <c r="I46" s="6" t="n">
        <v>1</v>
      </c>
      <c r="J46" s="6" t="n">
        <v>0</v>
      </c>
      <c r="K46" s="6" t="n">
        <v>11</v>
      </c>
      <c r="L46" s="6" t="n">
        <v>6</v>
      </c>
      <c r="M46" s="6" t="n">
        <v>2</v>
      </c>
      <c r="N46" s="6" t="inlineStr">
        <is>
          <t>SUCCEEDED</t>
        </is>
      </c>
      <c r="O46" s="7" t="n">
        <v>209.015</v>
      </c>
      <c r="P46" s="7" t="n">
        <v>205.8072338104248</v>
      </c>
      <c r="Q46" s="7" t="n">
        <v>123.900970697403</v>
      </c>
      <c r="R46" s="7" t="n">
        <v>127.6250431537628</v>
      </c>
      <c r="S46" s="8">
        <f>IF(N46="SUCCEEDED",P46/Q46,"")</f>
        <v/>
      </c>
      <c r="T46" s="8">
        <f>IF(N46="SUCCEEDED",P46/R46,"")</f>
        <v/>
      </c>
      <c r="U46" s="9">
        <f>IF(N46="SUCCEEDED",IF(D46="B0",O46-P46,O46-Q46),"")</f>
        <v/>
      </c>
      <c r="V46" s="7" t="n">
        <v>0.7048680782318115</v>
      </c>
      <c r="W46" s="6" t="n">
        <v>0</v>
      </c>
      <c r="X46" s="7" t="n">
        <v>0</v>
      </c>
      <c r="Y46" s="6" t="n">
        <v>11</v>
      </c>
      <c r="Z46" s="6" t="n">
        <v>0</v>
      </c>
      <c r="AA46" s="6" t="n">
        <v>0</v>
      </c>
      <c r="AB46" s="6" t="n">
        <v>0</v>
      </c>
      <c r="AC46" s="10" t="n">
        <v>6673</v>
      </c>
      <c r="AD46" s="10" t="n">
        <v>15354</v>
      </c>
      <c r="AE46" s="10" t="n">
        <v>14774</v>
      </c>
      <c r="AF46" s="11" t="n">
        <v>0.22663375</v>
      </c>
      <c r="AG46" s="11" t="n">
        <v>0.0013867469227</v>
      </c>
      <c r="AH46" s="11" t="n">
        <v>0.000275</v>
      </c>
      <c r="AI46" s="12">
        <f>AF46+AG46+AH46</f>
        <v/>
      </c>
      <c r="AJ46" s="6" t="n">
        <v>0</v>
      </c>
      <c r="AK46" s="6" t="inlineStr"/>
    </row>
    <row r="47">
      <c r="A47" s="5" t="n">
        <v>1</v>
      </c>
      <c r="B47" s="5" t="n">
        <v>23</v>
      </c>
      <c r="C47" s="5" t="inlineStr">
        <is>
          <t>med3_5</t>
        </is>
      </c>
      <c r="D47" s="5" t="inlineStr">
        <is>
          <t>A1</t>
        </is>
      </c>
      <c r="E47" s="5" t="inlineStr">
        <is>
          <t>2nd</t>
        </is>
      </c>
      <c r="F47" s="5" t="inlineStr">
        <is>
          <t>med3</t>
        </is>
      </c>
      <c r="G47" s="5" t="inlineStr">
        <is>
          <t>medium</t>
        </is>
      </c>
      <c r="H47" s="6" t="n">
        <v>0</v>
      </c>
      <c r="I47" s="6" t="n">
        <v>1</v>
      </c>
      <c r="J47" s="6" t="n">
        <v>0</v>
      </c>
      <c r="K47" s="6" t="n">
        <v>11</v>
      </c>
      <c r="L47" s="6" t="n">
        <v>6</v>
      </c>
      <c r="M47" s="6" t="n">
        <v>2</v>
      </c>
      <c r="N47" s="6" t="inlineStr">
        <is>
          <t>SUCCEEDED</t>
        </is>
      </c>
      <c r="O47" s="7" t="n">
        <v>138.735</v>
      </c>
      <c r="P47" s="7" t="n">
        <v>235.2180762290955</v>
      </c>
      <c r="Q47" s="7" t="n">
        <v>137.4108974933624</v>
      </c>
      <c r="R47" s="7" t="n">
        <v>138.0188686847687</v>
      </c>
      <c r="S47" s="8">
        <f>IF(N47="SUCCEEDED",P47/Q47,"")</f>
        <v/>
      </c>
      <c r="T47" s="8">
        <f>IF(N47="SUCCEEDED",P47/R47,"")</f>
        <v/>
      </c>
      <c r="U47" s="9">
        <f>IF(N47="SUCCEEDED",IF(D47="B0",O47-P47,O47-Q47),"")</f>
        <v/>
      </c>
      <c r="V47" s="7" t="n">
        <v>495.7996895313263</v>
      </c>
      <c r="W47" s="6" t="n">
        <v>0</v>
      </c>
      <c r="X47" s="7" t="n">
        <v>0</v>
      </c>
      <c r="Y47" s="6" t="n">
        <v>11</v>
      </c>
      <c r="Z47" s="6" t="n">
        <v>0</v>
      </c>
      <c r="AA47" s="6" t="n">
        <v>0</v>
      </c>
      <c r="AB47" s="6" t="n">
        <v>0</v>
      </c>
      <c r="AC47" s="10" t="n">
        <v>6629</v>
      </c>
      <c r="AD47" s="10" t="n">
        <v>15284</v>
      </c>
      <c r="AE47" s="10" t="n">
        <v>14704</v>
      </c>
      <c r="AF47" s="11" t="n">
        <v>0.22557675</v>
      </c>
      <c r="AG47" s="11" t="n">
        <v>0.0048835110731</v>
      </c>
      <c r="AH47" s="11" t="n">
        <v>0.0003</v>
      </c>
      <c r="AI47" s="12">
        <f>AF47+AG47+AH47</f>
        <v/>
      </c>
      <c r="AJ47" s="6" t="n">
        <v>0</v>
      </c>
      <c r="AK47" s="6" t="inlineStr"/>
    </row>
    <row r="48">
      <c r="A48" s="5" t="n">
        <v>1</v>
      </c>
      <c r="B48" s="5" t="n">
        <v>24</v>
      </c>
      <c r="C48" s="5" t="inlineStr">
        <is>
          <t>easy1_6</t>
        </is>
      </c>
      <c r="D48" s="5" t="inlineStr">
        <is>
          <t>A1</t>
        </is>
      </c>
      <c r="E48" s="5" t="inlineStr">
        <is>
          <t>1st</t>
        </is>
      </c>
      <c r="F48" s="5" t="inlineStr">
        <is>
          <t>easy1</t>
        </is>
      </c>
      <c r="G48" s="5" t="inlineStr">
        <is>
          <t>easy</t>
        </is>
      </c>
      <c r="H48" s="6" t="n">
        <v>1</v>
      </c>
      <c r="I48" s="6" t="n">
        <v>0</v>
      </c>
      <c r="J48" s="6" t="n">
        <v>0</v>
      </c>
      <c r="K48" s="6" t="n">
        <v>5</v>
      </c>
      <c r="L48" s="6" t="n">
        <v>4</v>
      </c>
      <c r="M48" s="6" t="n">
        <v>2</v>
      </c>
      <c r="N48" s="6" t="inlineStr">
        <is>
          <t>SUCCEEDED</t>
        </is>
      </c>
      <c r="O48" s="7" t="n">
        <v>36.546</v>
      </c>
      <c r="P48" s="7" t="n">
        <v>56.28453516960144</v>
      </c>
      <c r="Q48" s="7" t="n">
        <v>35.48046708106995</v>
      </c>
      <c r="R48" s="7" t="n">
        <v>42.09364986419678</v>
      </c>
      <c r="S48" s="8">
        <f>IF(N48="SUCCEEDED",P48/Q48,"")</f>
        <v/>
      </c>
      <c r="T48" s="8">
        <f>IF(N48="SUCCEEDED",P48/R48,"")</f>
        <v/>
      </c>
      <c r="U48" s="9">
        <f>IF(N48="SUCCEEDED",IF(D48="B0",O48-P48,O48-Q48),"")</f>
        <v/>
      </c>
      <c r="V48" s="7" t="n">
        <v>60.15139579772949</v>
      </c>
      <c r="W48" s="6" t="n">
        <v>0</v>
      </c>
      <c r="X48" s="7" t="n">
        <v>0</v>
      </c>
      <c r="Y48" s="6" t="n">
        <v>5</v>
      </c>
      <c r="Z48" s="6" t="n">
        <v>0</v>
      </c>
      <c r="AA48" s="6" t="n">
        <v>0</v>
      </c>
      <c r="AB48" s="6" t="n">
        <v>0</v>
      </c>
      <c r="AC48" s="10" t="n">
        <v>2256</v>
      </c>
      <c r="AD48" s="10" t="n">
        <v>3967</v>
      </c>
      <c r="AE48" s="10" t="n">
        <v>3772</v>
      </c>
      <c r="AF48" s="11" t="n">
        <v>0.059486</v>
      </c>
      <c r="AG48" s="11" t="n">
        <v>0.0007806905651</v>
      </c>
      <c r="AH48" s="11" t="n">
        <v>0.00015</v>
      </c>
      <c r="AI48" s="12">
        <f>AF48+AG48+AH48</f>
        <v/>
      </c>
      <c r="AJ48" s="6" t="n">
        <v>1</v>
      </c>
      <c r="AK48" s="6" t="inlineStr"/>
    </row>
    <row r="49">
      <c r="A49" s="5" t="n">
        <v>1</v>
      </c>
      <c r="B49" s="5" t="n">
        <v>24</v>
      </c>
      <c r="C49" s="5" t="inlineStr">
        <is>
          <t>easy1_6</t>
        </is>
      </c>
      <c r="D49" s="5" t="inlineStr">
        <is>
          <t>B0</t>
        </is>
      </c>
      <c r="E49" s="5" t="inlineStr">
        <is>
          <t>2nd</t>
        </is>
      </c>
      <c r="F49" s="5" t="inlineStr">
        <is>
          <t>easy1</t>
        </is>
      </c>
      <c r="G49" s="5" t="inlineStr">
        <is>
          <t>easy</t>
        </is>
      </c>
      <c r="H49" s="6" t="n">
        <v>1</v>
      </c>
      <c r="I49" s="6" t="n">
        <v>0</v>
      </c>
      <c r="J49" s="6" t="n">
        <v>0</v>
      </c>
      <c r="K49" s="6" t="n">
        <v>5</v>
      </c>
      <c r="L49" s="6" t="n">
        <v>4</v>
      </c>
      <c r="M49" s="6" t="n">
        <v>2</v>
      </c>
      <c r="N49" s="6" t="inlineStr">
        <is>
          <t>SUCCEEDED</t>
        </is>
      </c>
      <c r="O49" s="7" t="n">
        <v>48.786</v>
      </c>
      <c r="P49" s="7" t="n">
        <v>47.47395396232605</v>
      </c>
      <c r="Q49" s="7" t="n">
        <v>31.65616536140442</v>
      </c>
      <c r="R49" s="7" t="n">
        <v>42.15304684638977</v>
      </c>
      <c r="S49" s="8">
        <f>IF(N49="SUCCEEDED",P49/Q49,"")</f>
        <v/>
      </c>
      <c r="T49" s="8">
        <f>IF(N49="SUCCEEDED",P49/R49,"")</f>
        <v/>
      </c>
      <c r="U49" s="9">
        <f>IF(N49="SUCCEEDED",IF(D49="B0",O49-P49,O49-Q49),"")</f>
        <v/>
      </c>
      <c r="V49" s="7" t="n">
        <v>0.2228362560272217</v>
      </c>
      <c r="W49" s="6" t="n">
        <v>0</v>
      </c>
      <c r="X49" s="7" t="n">
        <v>0</v>
      </c>
      <c r="Y49" s="6" t="n">
        <v>5</v>
      </c>
      <c r="Z49" s="6" t="n">
        <v>0</v>
      </c>
      <c r="AA49" s="6" t="n">
        <v>0</v>
      </c>
      <c r="AB49" s="6" t="n">
        <v>0</v>
      </c>
      <c r="AC49" s="10" t="n">
        <v>2246</v>
      </c>
      <c r="AD49" s="10" t="n">
        <v>3414</v>
      </c>
      <c r="AE49" s="10" t="n">
        <v>3219</v>
      </c>
      <c r="AF49" s="11" t="n">
        <v>0.05172650000000001</v>
      </c>
      <c r="AG49" s="11" t="n">
        <v>0.0003223016065</v>
      </c>
      <c r="AH49" s="11" t="n">
        <v>0.000125</v>
      </c>
      <c r="AI49" s="12">
        <f>AF49+AG49+AH49</f>
        <v/>
      </c>
      <c r="AJ49" s="6" t="n">
        <v>1</v>
      </c>
      <c r="AK49" s="6" t="inlineStr"/>
    </row>
    <row r="50">
      <c r="A50" s="5" t="n">
        <v>1</v>
      </c>
      <c r="B50" s="5" t="n">
        <v>25</v>
      </c>
      <c r="C50" s="5" t="inlineStr">
        <is>
          <t>hard3_13</t>
        </is>
      </c>
      <c r="D50" s="5" t="inlineStr">
        <is>
          <t>B0</t>
        </is>
      </c>
      <c r="E50" s="5" t="inlineStr">
        <is>
          <t>1st</t>
        </is>
      </c>
      <c r="F50" s="5" t="inlineStr">
        <is>
          <t>hard3</t>
        </is>
      </c>
      <c r="G50" s="5" t="inlineStr">
        <is>
          <t>hard</t>
        </is>
      </c>
      <c r="H50" s="6" t="n">
        <v>0</v>
      </c>
      <c r="I50" s="6" t="n">
        <v>0</v>
      </c>
      <c r="J50" s="6" t="n">
        <v>0</v>
      </c>
      <c r="K50" s="6" t="n">
        <v>15</v>
      </c>
      <c r="L50" s="6" t="n">
        <v>9</v>
      </c>
      <c r="M50" s="6" t="n">
        <v>4</v>
      </c>
      <c r="N50" s="6" t="inlineStr">
        <is>
          <t>SUCCEEDED</t>
        </is>
      </c>
      <c r="O50" s="7" t="n">
        <v>399.737</v>
      </c>
      <c r="P50" s="7" t="n">
        <v>393.9947698116302</v>
      </c>
      <c r="Q50" s="7" t="n">
        <v>271.5149731636047</v>
      </c>
      <c r="R50" s="7" t="n">
        <v>276.602429151535</v>
      </c>
      <c r="S50" s="8">
        <f>IF(N50="SUCCEEDED",P50/Q50,"")</f>
        <v/>
      </c>
      <c r="T50" s="8">
        <f>IF(N50="SUCCEEDED",P50/R50,"")</f>
        <v/>
      </c>
      <c r="U50" s="9">
        <f>IF(N50="SUCCEEDED",IF(D50="B0",O50-P50,O50-Q50),"")</f>
        <v/>
      </c>
      <c r="V50" s="7" t="n">
        <v>1.141238927841187</v>
      </c>
      <c r="W50" s="6" t="n">
        <v>2</v>
      </c>
      <c r="X50" s="7" t="n">
        <v>0.9778199999999999</v>
      </c>
      <c r="Y50" s="6" t="n">
        <v>15</v>
      </c>
      <c r="Z50" s="6" t="n">
        <v>0</v>
      </c>
      <c r="AA50" s="6" t="n">
        <v>0</v>
      </c>
      <c r="AB50" s="6" t="n">
        <v>0</v>
      </c>
      <c r="AC50" s="10" t="n">
        <v>7958</v>
      </c>
      <c r="AD50" s="10" t="n">
        <v>25728</v>
      </c>
      <c r="AE50" s="10" t="n">
        <v>25221</v>
      </c>
      <c r="AF50" s="11" t="n">
        <v>0.3741184999999999</v>
      </c>
      <c r="AG50" s="11" t="n">
        <v>0.0026546065913</v>
      </c>
      <c r="AH50" s="11" t="n">
        <v>0.000375</v>
      </c>
      <c r="AI50" s="12">
        <f>AF50+AG50+AH50</f>
        <v/>
      </c>
      <c r="AJ50" s="6" t="n">
        <v>0</v>
      </c>
      <c r="AK50" s="6" t="inlineStr"/>
    </row>
    <row r="51">
      <c r="A51" s="5" t="n">
        <v>1</v>
      </c>
      <c r="B51" s="5" t="n">
        <v>25</v>
      </c>
      <c r="C51" s="5" t="inlineStr">
        <is>
          <t>hard3_13</t>
        </is>
      </c>
      <c r="D51" s="5" t="inlineStr">
        <is>
          <t>A1</t>
        </is>
      </c>
      <c r="E51" s="5" t="inlineStr">
        <is>
          <t>2nd</t>
        </is>
      </c>
      <c r="F51" s="5" t="inlineStr">
        <is>
          <t>hard3</t>
        </is>
      </c>
      <c r="G51" s="5" t="inlineStr">
        <is>
          <t>hard</t>
        </is>
      </c>
      <c r="H51" s="6" t="n">
        <v>0</v>
      </c>
      <c r="I51" s="6" t="n">
        <v>0</v>
      </c>
      <c r="J51" s="6" t="n">
        <v>0</v>
      </c>
      <c r="K51" s="6" t="n">
        <v>15</v>
      </c>
      <c r="L51" s="6" t="n">
        <v>9</v>
      </c>
      <c r="M51" s="6" t="n">
        <v>4</v>
      </c>
      <c r="N51" s="6" t="inlineStr">
        <is>
          <t>SUCCEEDED</t>
        </is>
      </c>
      <c r="O51" s="7" t="n">
        <v>186.922</v>
      </c>
      <c r="P51" s="7" t="n">
        <v>280.578271150589</v>
      </c>
      <c r="Q51" s="7" t="n">
        <v>184.7543387413025</v>
      </c>
      <c r="R51" s="7" t="n">
        <v>199.0016746520996</v>
      </c>
      <c r="S51" s="8">
        <f>IF(N51="SUCCEEDED",P51/Q51,"")</f>
        <v/>
      </c>
      <c r="T51" s="8">
        <f>IF(N51="SUCCEEDED",P51/R51,"")</f>
        <v/>
      </c>
      <c r="U51" s="9">
        <f>IF(N51="SUCCEEDED",IF(D51="B0",O51-P51,O51-Q51),"")</f>
        <v/>
      </c>
      <c r="V51" s="7" t="n">
        <v>820.3200540542603</v>
      </c>
      <c r="W51" s="6" t="n">
        <v>0</v>
      </c>
      <c r="X51" s="7" t="n">
        <v>0</v>
      </c>
      <c r="Y51" s="6" t="n">
        <v>15</v>
      </c>
      <c r="Z51" s="6" t="n">
        <v>0</v>
      </c>
      <c r="AA51" s="6" t="n">
        <v>0</v>
      </c>
      <c r="AB51" s="6" t="n">
        <v>0</v>
      </c>
      <c r="AC51" s="10" t="n">
        <v>8007</v>
      </c>
      <c r="AD51" s="10" t="n">
        <v>21454</v>
      </c>
      <c r="AE51" s="10" t="n">
        <v>20935</v>
      </c>
      <c r="AF51" s="11" t="n">
        <v>0.31436825</v>
      </c>
      <c r="AG51" s="11" t="n">
        <v>0.0073528567491</v>
      </c>
      <c r="AH51" s="11" t="n">
        <v>0.0004</v>
      </c>
      <c r="AI51" s="12">
        <f>AF51+AG51+AH51</f>
        <v/>
      </c>
      <c r="AJ51" s="6" t="n">
        <v>0</v>
      </c>
      <c r="AK51" s="6" t="inlineStr"/>
    </row>
    <row r="52">
      <c r="A52" s="5" t="n">
        <v>1</v>
      </c>
      <c r="B52" s="5" t="n">
        <v>26</v>
      </c>
      <c r="C52" s="5" t="inlineStr">
        <is>
          <t>hard2_28</t>
        </is>
      </c>
      <c r="D52" s="5" t="inlineStr">
        <is>
          <t>A1</t>
        </is>
      </c>
      <c r="E52" s="5" t="inlineStr">
        <is>
          <t>1st</t>
        </is>
      </c>
      <c r="F52" s="5" t="inlineStr">
        <is>
          <t>hard2</t>
        </is>
      </c>
      <c r="G52" s="5" t="inlineStr">
        <is>
          <t>hard</t>
        </is>
      </c>
      <c r="H52" s="6" t="n">
        <v>0</v>
      </c>
      <c r="I52" s="6" t="n">
        <v>1</v>
      </c>
      <c r="J52" s="6" t="n">
        <v>0</v>
      </c>
      <c r="K52" s="6" t="n">
        <v>16</v>
      </c>
      <c r="L52" s="6" t="n">
        <v>10</v>
      </c>
      <c r="M52" s="6" t="n">
        <v>5</v>
      </c>
      <c r="N52" s="6" t="inlineStr">
        <is>
          <t>SUCCEEDED</t>
        </is>
      </c>
      <c r="O52" s="7" t="n">
        <v>298.023</v>
      </c>
      <c r="P52" s="7" t="n">
        <v>355.7767059803009</v>
      </c>
      <c r="Q52" s="7" t="n">
        <v>295.5028948783875</v>
      </c>
      <c r="R52" s="7" t="n">
        <v>305.2654168605804</v>
      </c>
      <c r="S52" s="8">
        <f>IF(N52="SUCCEEDED",P52/Q52,"")</f>
        <v/>
      </c>
      <c r="T52" s="8">
        <f>IF(N52="SUCCEEDED",P52/R52,"")</f>
        <v/>
      </c>
      <c r="U52" s="9">
        <f>IF(N52="SUCCEEDED",IF(D52="B0",O52-P52,O52-Q52),"")</f>
        <v/>
      </c>
      <c r="V52" s="7" t="n">
        <v>704.1405816078186</v>
      </c>
      <c r="W52" s="6" t="n">
        <v>0</v>
      </c>
      <c r="X52" s="7" t="n">
        <v>0</v>
      </c>
      <c r="Y52" s="6" t="n">
        <v>16</v>
      </c>
      <c r="Z52" s="6" t="n">
        <v>0</v>
      </c>
      <c r="AA52" s="6" t="n">
        <v>0</v>
      </c>
      <c r="AB52" s="6" t="n">
        <v>0</v>
      </c>
      <c r="AC52" s="10" t="n">
        <v>8781</v>
      </c>
      <c r="AD52" s="10" t="n">
        <v>28191</v>
      </c>
      <c r="AE52" s="10" t="n">
        <v>27428</v>
      </c>
      <c r="AF52" s="11" t="n">
        <v>0.41004075</v>
      </c>
      <c r="AG52" s="11" t="n">
        <v>0.0070811953898</v>
      </c>
      <c r="AH52" s="11" t="n">
        <v>0.000425</v>
      </c>
      <c r="AI52" s="12">
        <f>AF52+AG52+AH52</f>
        <v/>
      </c>
      <c r="AJ52" s="6" t="n">
        <v>0</v>
      </c>
      <c r="AK52" s="6" t="inlineStr"/>
    </row>
    <row r="53">
      <c r="A53" s="5" t="n">
        <v>1</v>
      </c>
      <c r="B53" s="5" t="n">
        <v>26</v>
      </c>
      <c r="C53" s="5" t="inlineStr">
        <is>
          <t>hard2_28</t>
        </is>
      </c>
      <c r="D53" s="5" t="inlineStr">
        <is>
          <t>B0</t>
        </is>
      </c>
      <c r="E53" s="5" t="inlineStr">
        <is>
          <t>2nd</t>
        </is>
      </c>
      <c r="F53" s="5" t="inlineStr">
        <is>
          <t>hard2</t>
        </is>
      </c>
      <c r="G53" s="5" t="inlineStr">
        <is>
          <t>hard</t>
        </is>
      </c>
      <c r="H53" s="6" t="n">
        <v>0</v>
      </c>
      <c r="I53" s="6" t="n">
        <v>1</v>
      </c>
      <c r="J53" s="6" t="n">
        <v>0</v>
      </c>
      <c r="K53" s="6" t="n">
        <v>16</v>
      </c>
      <c r="L53" s="6" t="n">
        <v>10</v>
      </c>
      <c r="M53" s="6" t="n">
        <v>5</v>
      </c>
      <c r="N53" s="6" t="inlineStr">
        <is>
          <t>SUCCEEDED</t>
        </is>
      </c>
      <c r="O53" s="7" t="n">
        <v>351.905</v>
      </c>
      <c r="P53" s="7" t="n">
        <v>347.0441100597382</v>
      </c>
      <c r="Q53" s="7" t="n">
        <v>285.5278036594391</v>
      </c>
      <c r="R53" s="7" t="n">
        <v>297.2036571502686</v>
      </c>
      <c r="S53" s="8">
        <f>IF(N53="SUCCEEDED",P53/Q53,"")</f>
        <v/>
      </c>
      <c r="T53" s="8">
        <f>IF(N53="SUCCEEDED",P53/R53,"")</f>
        <v/>
      </c>
      <c r="U53" s="9">
        <f>IF(N53="SUCCEEDED",IF(D53="B0",O53-P53,O53-Q53),"")</f>
        <v/>
      </c>
      <c r="V53" s="7" t="n">
        <v>1.308818578720093</v>
      </c>
      <c r="W53" s="6" t="n">
        <v>0</v>
      </c>
      <c r="X53" s="7" t="n">
        <v>0</v>
      </c>
      <c r="Y53" s="6" t="n">
        <v>16</v>
      </c>
      <c r="Z53" s="6" t="n">
        <v>0</v>
      </c>
      <c r="AA53" s="6" t="n">
        <v>0</v>
      </c>
      <c r="AB53" s="6" t="n">
        <v>0</v>
      </c>
      <c r="AC53" s="10" t="n">
        <v>8785</v>
      </c>
      <c r="AD53" s="10" t="n">
        <v>27915</v>
      </c>
      <c r="AE53" s="10" t="n">
        <v>27146</v>
      </c>
      <c r="AF53" s="11" t="n">
        <v>0.40618375</v>
      </c>
      <c r="AG53" s="11" t="n">
        <v>0.0023366383338</v>
      </c>
      <c r="AH53" s="11" t="n">
        <v>0.0004</v>
      </c>
      <c r="AI53" s="12">
        <f>AF53+AG53+AH53</f>
        <v/>
      </c>
      <c r="AJ53" s="6" t="n">
        <v>0</v>
      </c>
      <c r="AK53" s="6" t="inlineStr"/>
    </row>
    <row r="54">
      <c r="A54" s="5" t="n">
        <v>1</v>
      </c>
      <c r="B54" s="5" t="n">
        <v>27</v>
      </c>
      <c r="C54" s="5" t="inlineStr">
        <is>
          <t>protein_1PGA_query_3_mask_4</t>
        </is>
      </c>
      <c r="D54" s="5" t="inlineStr">
        <is>
          <t>B0</t>
        </is>
      </c>
      <c r="E54" s="5" t="inlineStr">
        <is>
          <t>1st</t>
        </is>
      </c>
      <c r="F54" s="5" t="inlineStr">
        <is>
          <t>hard4</t>
        </is>
      </c>
      <c r="G54" s="5" t="inlineStr">
        <is>
          <t>hard</t>
        </is>
      </c>
      <c r="H54" s="6" t="n">
        <v>0</v>
      </c>
      <c r="I54" s="6" t="n">
        <v>0</v>
      </c>
      <c r="J54" s="6" t="n">
        <v>0</v>
      </c>
      <c r="K54" s="6" t="n">
        <v>6</v>
      </c>
      <c r="L54" s="6" t="n">
        <v>5</v>
      </c>
      <c r="M54" s="6" t="n">
        <v>2</v>
      </c>
      <c r="N54" s="6" t="inlineStr">
        <is>
          <t>SUCCEEDED</t>
        </is>
      </c>
      <c r="O54" s="7" t="n">
        <v>152.807</v>
      </c>
      <c r="P54" s="7" t="n">
        <v>150.9285004138947</v>
      </c>
      <c r="Q54" s="7" t="n">
        <v>131.5882534980774</v>
      </c>
      <c r="R54" s="7" t="n">
        <v>131.5882534980774</v>
      </c>
      <c r="S54" s="8">
        <f>IF(N54="SUCCEEDED",P54/Q54,"")</f>
        <v/>
      </c>
      <c r="T54" s="8">
        <f>IF(N54="SUCCEEDED",P54/R54,"")</f>
        <v/>
      </c>
      <c r="U54" s="9">
        <f>IF(N54="SUCCEEDED",IF(D54="B0",O54-P54,O54-Q54),"")</f>
        <v/>
      </c>
      <c r="V54" s="7" t="n">
        <v>0.4979045391082764</v>
      </c>
      <c r="W54" s="6" t="n">
        <v>0</v>
      </c>
      <c r="X54" s="7" t="n">
        <v>0</v>
      </c>
      <c r="Y54" s="6" t="n">
        <v>6</v>
      </c>
      <c r="Z54" s="6" t="n">
        <v>0</v>
      </c>
      <c r="AA54" s="6" t="n">
        <v>0</v>
      </c>
      <c r="AB54" s="6" t="n">
        <v>0</v>
      </c>
      <c r="AC54" s="10" t="n">
        <v>93412</v>
      </c>
      <c r="AD54" s="10" t="n">
        <v>11386</v>
      </c>
      <c r="AE54" s="10" t="n">
        <v>11203</v>
      </c>
      <c r="AF54" s="11" t="n">
        <v>0.322875</v>
      </c>
      <c r="AG54" s="11" t="n">
        <v>0.0010150917361</v>
      </c>
      <c r="AH54" s="11" t="n">
        <v>0.00015</v>
      </c>
      <c r="AI54" s="12">
        <f>AF54+AG54+AH54</f>
        <v/>
      </c>
      <c r="AJ54" s="6" t="n">
        <v>0</v>
      </c>
      <c r="AK54" s="6" t="inlineStr"/>
    </row>
    <row r="55">
      <c r="A55" s="5" t="n">
        <v>1</v>
      </c>
      <c r="B55" s="5" t="n">
        <v>27</v>
      </c>
      <c r="C55" s="5" t="inlineStr">
        <is>
          <t>protein_1PGA_query_3_mask_4</t>
        </is>
      </c>
      <c r="D55" s="5" t="inlineStr">
        <is>
          <t>A1</t>
        </is>
      </c>
      <c r="E55" s="5" t="inlineStr">
        <is>
          <t>2nd</t>
        </is>
      </c>
      <c r="F55" s="5" t="inlineStr">
        <is>
          <t>hard4</t>
        </is>
      </c>
      <c r="G55" s="5" t="inlineStr">
        <is>
          <t>hard</t>
        </is>
      </c>
      <c r="H55" s="6" t="n">
        <v>0</v>
      </c>
      <c r="I55" s="6" t="n">
        <v>0</v>
      </c>
      <c r="J55" s="6" t="n">
        <v>0</v>
      </c>
      <c r="K55" s="6" t="n">
        <v>6</v>
      </c>
      <c r="L55" s="6" t="n">
        <v>5</v>
      </c>
      <c r="M55" s="6" t="n">
        <v>2</v>
      </c>
      <c r="N55" s="6" t="inlineStr">
        <is>
          <t>SUCCEEDED</t>
        </is>
      </c>
      <c r="O55" s="7" t="n">
        <v>124.153</v>
      </c>
      <c r="P55" s="7" t="n">
        <v>147.8126749992371</v>
      </c>
      <c r="Q55" s="7" t="n">
        <v>123.0657434463501</v>
      </c>
      <c r="R55" s="7" t="n">
        <v>123.0657434463501</v>
      </c>
      <c r="S55" s="8">
        <f>IF(N55="SUCCEEDED",P55/Q55,"")</f>
        <v/>
      </c>
      <c r="T55" s="8">
        <f>IF(N55="SUCCEEDED",P55/R55,"")</f>
        <v/>
      </c>
      <c r="U55" s="9">
        <f>IF(N55="SUCCEEDED",IF(D55="B0",O55-P55,O55-Q55),"")</f>
        <v/>
      </c>
      <c r="V55" s="7" t="n">
        <v>185.3305473327637</v>
      </c>
      <c r="W55" s="6" t="n">
        <v>0</v>
      </c>
      <c r="X55" s="7" t="n">
        <v>0</v>
      </c>
      <c r="Y55" s="6" t="n">
        <v>6</v>
      </c>
      <c r="Z55" s="6" t="n">
        <v>0</v>
      </c>
      <c r="AA55" s="6" t="n">
        <v>0</v>
      </c>
      <c r="AB55" s="6" t="n">
        <v>0</v>
      </c>
      <c r="AC55" s="10" t="n">
        <v>93446</v>
      </c>
      <c r="AD55" s="10" t="n">
        <v>12444</v>
      </c>
      <c r="AE55" s="10" t="n">
        <v>12229</v>
      </c>
      <c r="AF55" s="11" t="n">
        <v>0.3377465</v>
      </c>
      <c r="AG55" s="11" t="n">
        <v>0.0022262977921</v>
      </c>
      <c r="AH55" s="11" t="n">
        <v>0.000175</v>
      </c>
      <c r="AI55" s="12">
        <f>AF55+AG55+AH55</f>
        <v/>
      </c>
      <c r="AJ55" s="6" t="n">
        <v>0</v>
      </c>
      <c r="AK55" s="6" t="inlineStr"/>
    </row>
    <row r="56">
      <c r="A56" s="5" t="n">
        <v>1</v>
      </c>
      <c r="B56" s="5" t="n">
        <v>28</v>
      </c>
      <c r="C56" s="5" t="inlineStr">
        <is>
          <t>hard2_8</t>
        </is>
      </c>
      <c r="D56" s="5" t="inlineStr">
        <is>
          <t>A1</t>
        </is>
      </c>
      <c r="E56" s="5" t="inlineStr">
        <is>
          <t>1st</t>
        </is>
      </c>
      <c r="F56" s="5" t="inlineStr">
        <is>
          <t>hard2</t>
        </is>
      </c>
      <c r="G56" s="5" t="inlineStr">
        <is>
          <t>hard</t>
        </is>
      </c>
      <c r="H56" s="6" t="n">
        <v>0</v>
      </c>
      <c r="I56" s="6" t="n">
        <v>0</v>
      </c>
      <c r="J56" s="6" t="n">
        <v>0</v>
      </c>
      <c r="K56" s="6" t="n">
        <v>16</v>
      </c>
      <c r="L56" s="6" t="n">
        <v>10</v>
      </c>
      <c r="M56" s="6" t="n">
        <v>5</v>
      </c>
      <c r="N56" s="6" t="inlineStr">
        <is>
          <t>SUCCEEDED</t>
        </is>
      </c>
      <c r="O56" s="7" t="n">
        <v>423.04</v>
      </c>
      <c r="P56" s="7" t="n">
        <v>479.8567762374878</v>
      </c>
      <c r="Q56" s="7" t="n">
        <v>420.5746829509735</v>
      </c>
      <c r="R56" s="7" t="n">
        <v>425.0503218173981</v>
      </c>
      <c r="S56" s="8">
        <f>IF(N56="SUCCEEDED",P56/Q56,"")</f>
        <v/>
      </c>
      <c r="T56" s="8">
        <f>IF(N56="SUCCEEDED",P56/R56,"")</f>
        <v/>
      </c>
      <c r="U56" s="9">
        <f>IF(N56="SUCCEEDED",IF(D56="B0",O56-P56,O56-Q56),"")</f>
        <v/>
      </c>
      <c r="V56" s="7" t="n">
        <v>1005.883980751038</v>
      </c>
      <c r="W56" s="6" t="n">
        <v>0</v>
      </c>
      <c r="X56" s="7" t="n">
        <v>0</v>
      </c>
      <c r="Y56" s="6" t="n">
        <v>16</v>
      </c>
      <c r="Z56" s="6" t="n">
        <v>0</v>
      </c>
      <c r="AA56" s="6" t="n">
        <v>0</v>
      </c>
      <c r="AB56" s="6" t="n">
        <v>0</v>
      </c>
      <c r="AC56" s="10" t="n">
        <v>8598</v>
      </c>
      <c r="AD56" s="10" t="n">
        <v>32131</v>
      </c>
      <c r="AE56" s="10" t="n">
        <v>31412</v>
      </c>
      <c r="AF56" s="11" t="n">
        <v>0.4648805</v>
      </c>
      <c r="AG56" s="11" t="n">
        <v>0.0099202362516</v>
      </c>
      <c r="AH56" s="11" t="n">
        <v>0.000425</v>
      </c>
      <c r="AI56" s="12">
        <f>AF56+AG56+AH56</f>
        <v/>
      </c>
      <c r="AJ56" s="6" t="n">
        <v>0</v>
      </c>
      <c r="AK56" s="6" t="inlineStr"/>
    </row>
    <row r="57">
      <c r="A57" s="5" t="n">
        <v>1</v>
      </c>
      <c r="B57" s="5" t="n">
        <v>28</v>
      </c>
      <c r="C57" s="5" t="inlineStr">
        <is>
          <t>hard2_8</t>
        </is>
      </c>
      <c r="D57" s="5" t="inlineStr">
        <is>
          <t>B0</t>
        </is>
      </c>
      <c r="E57" s="5" t="inlineStr">
        <is>
          <t>2nd</t>
        </is>
      </c>
      <c r="F57" s="5" t="inlineStr">
        <is>
          <t>hard2</t>
        </is>
      </c>
      <c r="G57" s="5" t="inlineStr">
        <is>
          <t>hard</t>
        </is>
      </c>
      <c r="H57" s="6" t="n">
        <v>0</v>
      </c>
      <c r="I57" s="6" t="n">
        <v>0</v>
      </c>
      <c r="J57" s="6" t="n">
        <v>0</v>
      </c>
      <c r="K57" s="6" t="n">
        <v>16</v>
      </c>
      <c r="L57" s="6" t="n">
        <v>10</v>
      </c>
      <c r="M57" s="6" t="n">
        <v>5</v>
      </c>
      <c r="N57" s="6" t="inlineStr">
        <is>
          <t>SUCCEEDED</t>
        </is>
      </c>
      <c r="O57" s="7" t="n">
        <v>257.169</v>
      </c>
      <c r="P57" s="7" t="n">
        <v>252.4614367485046</v>
      </c>
      <c r="Q57" s="7" t="n">
        <v>189.5127389431</v>
      </c>
      <c r="R57" s="7" t="n">
        <v>196.6946287155151</v>
      </c>
      <c r="S57" s="8">
        <f>IF(N57="SUCCEEDED",P57/Q57,"")</f>
        <v/>
      </c>
      <c r="T57" s="8">
        <f>IF(N57="SUCCEEDED",P57/R57,"")</f>
        <v/>
      </c>
      <c r="U57" s="9">
        <f>IF(N57="SUCCEEDED",IF(D57="B0",O57-P57,O57-Q57),"")</f>
        <v/>
      </c>
      <c r="V57" s="7" t="n">
        <v>1.080356359481812</v>
      </c>
      <c r="W57" s="6" t="n">
        <v>0</v>
      </c>
      <c r="X57" s="7" t="n">
        <v>0</v>
      </c>
      <c r="Y57" s="6" t="n">
        <v>16</v>
      </c>
      <c r="Z57" s="6" t="n">
        <v>0</v>
      </c>
      <c r="AA57" s="6" t="n">
        <v>0</v>
      </c>
      <c r="AB57" s="6" t="n">
        <v>0</v>
      </c>
      <c r="AC57" s="10" t="n">
        <v>8454</v>
      </c>
      <c r="AD57" s="10" t="n">
        <v>14851</v>
      </c>
      <c r="AE57" s="10" t="n">
        <v>14198</v>
      </c>
      <c r="AF57" s="11" t="n">
        <v>0.2227085</v>
      </c>
      <c r="AG57" s="11" t="n">
        <v>0.0017054885114</v>
      </c>
      <c r="AH57" s="11" t="n">
        <v>0.0004</v>
      </c>
      <c r="AI57" s="12">
        <f>AF57+AG57+AH57</f>
        <v/>
      </c>
      <c r="AJ57" s="6" t="n">
        <v>0</v>
      </c>
      <c r="AK57" s="6" t="inlineStr"/>
    </row>
    <row r="58">
      <c r="A58" s="5" t="n">
        <v>1</v>
      </c>
      <c r="B58" s="5" t="n">
        <v>29</v>
      </c>
      <c r="C58" s="5" t="inlineStr">
        <is>
          <t>hard1_29</t>
        </is>
      </c>
      <c r="D58" s="5" t="inlineStr">
        <is>
          <t>B0</t>
        </is>
      </c>
      <c r="E58" s="5" t="inlineStr">
        <is>
          <t>1st</t>
        </is>
      </c>
      <c r="F58" s="5" t="inlineStr">
        <is>
          <t>hard1</t>
        </is>
      </c>
      <c r="G58" s="5" t="inlineStr">
        <is>
          <t>hard</t>
        </is>
      </c>
      <c r="H58" s="6" t="n">
        <v>0</v>
      </c>
      <c r="I58" s="6" t="n">
        <v>1</v>
      </c>
      <c r="J58" s="6" t="n">
        <v>0</v>
      </c>
      <c r="K58" s="6" t="n">
        <v>16</v>
      </c>
      <c r="L58" s="6" t="n">
        <v>9</v>
      </c>
      <c r="M58" s="6" t="n">
        <v>5</v>
      </c>
      <c r="N58" s="6" t="inlineStr">
        <is>
          <t>SUCCEEDED</t>
        </is>
      </c>
      <c r="O58" s="7" t="n">
        <v>371.659</v>
      </c>
      <c r="P58" s="7" t="n">
        <v>366.975825548172</v>
      </c>
      <c r="Q58" s="7" t="n">
        <v>315.2896499633789</v>
      </c>
      <c r="R58" s="7" t="n">
        <v>326.593843460083</v>
      </c>
      <c r="S58" s="8">
        <f>IF(N58="SUCCEEDED",P58/Q58,"")</f>
        <v/>
      </c>
      <c r="T58" s="8">
        <f>IF(N58="SUCCEEDED",P58/R58,"")</f>
        <v/>
      </c>
      <c r="U58" s="9">
        <f>IF(N58="SUCCEEDED",IF(D58="B0",O58-P58,O58-Q58),"")</f>
        <v/>
      </c>
      <c r="V58" s="7" t="n">
        <v>1.034497261047363</v>
      </c>
      <c r="W58" s="6" t="n">
        <v>0</v>
      </c>
      <c r="X58" s="7" t="n">
        <v>0</v>
      </c>
      <c r="Y58" s="6" t="n">
        <v>16</v>
      </c>
      <c r="Z58" s="6" t="n">
        <v>0</v>
      </c>
      <c r="AA58" s="6" t="n">
        <v>0</v>
      </c>
      <c r="AB58" s="6" t="n">
        <v>0</v>
      </c>
      <c r="AC58" s="10" t="n">
        <v>9675</v>
      </c>
      <c r="AD58" s="10" t="n">
        <v>24017</v>
      </c>
      <c r="AE58" s="10" t="n">
        <v>23382</v>
      </c>
      <c r="AF58" s="11" t="n">
        <v>0.35316925</v>
      </c>
      <c r="AG58" s="11" t="n">
        <v>0.0024674456545</v>
      </c>
      <c r="AH58" s="11" t="n">
        <v>0.0004</v>
      </c>
      <c r="AI58" s="12">
        <f>AF58+AG58+AH58</f>
        <v/>
      </c>
      <c r="AJ58" s="6" t="n">
        <v>0</v>
      </c>
      <c r="AK58" s="6" t="inlineStr"/>
    </row>
    <row r="59">
      <c r="A59" s="5" t="n">
        <v>1</v>
      </c>
      <c r="B59" s="5" t="n">
        <v>29</v>
      </c>
      <c r="C59" s="5" t="inlineStr">
        <is>
          <t>hard1_29</t>
        </is>
      </c>
      <c r="D59" s="5" t="inlineStr">
        <is>
          <t>A1</t>
        </is>
      </c>
      <c r="E59" s="5" t="inlineStr">
        <is>
          <t>2nd</t>
        </is>
      </c>
      <c r="F59" s="5" t="inlineStr">
        <is>
          <t>hard1</t>
        </is>
      </c>
      <c r="G59" s="5" t="inlineStr">
        <is>
          <t>hard</t>
        </is>
      </c>
      <c r="H59" s="6" t="n">
        <v>0</v>
      </c>
      <c r="I59" s="6" t="n">
        <v>1</v>
      </c>
      <c r="J59" s="6" t="n">
        <v>0</v>
      </c>
      <c r="K59" s="6" t="n">
        <v>16</v>
      </c>
      <c r="L59" s="6" t="n">
        <v>9</v>
      </c>
      <c r="M59" s="6" t="n">
        <v>5</v>
      </c>
      <c r="N59" s="6" t="inlineStr">
        <is>
          <t>SUCCEEDED</t>
        </is>
      </c>
      <c r="O59" s="7" t="n">
        <v>329.902</v>
      </c>
      <c r="P59" s="7" t="n">
        <v>387.208646774292</v>
      </c>
      <c r="Q59" s="7" t="n">
        <v>327.9416182041168</v>
      </c>
      <c r="R59" s="7" t="n">
        <v>340.696044921875</v>
      </c>
      <c r="S59" s="8">
        <f>IF(N59="SUCCEEDED",P59/Q59,"")</f>
        <v/>
      </c>
      <c r="T59" s="8">
        <f>IF(N59="SUCCEEDED",P59/R59,"")</f>
        <v/>
      </c>
      <c r="U59" s="9">
        <f>IF(N59="SUCCEEDED",IF(D59="B0",O59-P59,O59-Q59),"")</f>
        <v/>
      </c>
      <c r="V59" s="7" t="n">
        <v>937.8404004573822</v>
      </c>
      <c r="W59" s="6" t="n">
        <v>0</v>
      </c>
      <c r="X59" s="7" t="n">
        <v>0</v>
      </c>
      <c r="Y59" s="6" t="n">
        <v>16</v>
      </c>
      <c r="Z59" s="6" t="n">
        <v>0</v>
      </c>
      <c r="AA59" s="6" t="n">
        <v>0</v>
      </c>
      <c r="AB59" s="6" t="n">
        <v>0</v>
      </c>
      <c r="AC59" s="10" t="n">
        <v>9642</v>
      </c>
      <c r="AD59" s="10" t="n">
        <v>29050</v>
      </c>
      <c r="AE59" s="10" t="n">
        <v>28452</v>
      </c>
      <c r="AF59" s="11" t="n">
        <v>0.4235735</v>
      </c>
      <c r="AG59" s="11" t="n">
        <v>0.008848910894999999</v>
      </c>
      <c r="AH59" s="11" t="n">
        <v>0.000425</v>
      </c>
      <c r="AI59" s="12">
        <f>AF59+AG59+AH59</f>
        <v/>
      </c>
      <c r="AJ59" s="6" t="n">
        <v>0</v>
      </c>
      <c r="AK59" s="6" t="inlineStr"/>
    </row>
    <row r="60">
      <c r="A60" s="5" t="n">
        <v>1</v>
      </c>
      <c r="B60" s="5" t="n">
        <v>30</v>
      </c>
      <c r="C60" s="5" t="inlineStr">
        <is>
          <t>easy2_47</t>
        </is>
      </c>
      <c r="D60" s="5" t="inlineStr">
        <is>
          <t>A1</t>
        </is>
      </c>
      <c r="E60" s="5" t="inlineStr">
        <is>
          <t>1st</t>
        </is>
      </c>
      <c r="F60" s="5" t="inlineStr">
        <is>
          <t>easy2</t>
        </is>
      </c>
      <c r="G60" s="5" t="inlineStr">
        <is>
          <t>easy</t>
        </is>
      </c>
      <c r="H60" s="6" t="n">
        <v>1</v>
      </c>
      <c r="I60" s="6" t="n">
        <v>0</v>
      </c>
      <c r="J60" s="6" t="n">
        <v>1</v>
      </c>
      <c r="K60" s="6" t="n">
        <v>5</v>
      </c>
      <c r="L60" s="6" t="n">
        <v>4</v>
      </c>
      <c r="M60" s="6" t="n">
        <v>2</v>
      </c>
      <c r="N60" s="6" t="inlineStr">
        <is>
          <t>SUCCEEDED</t>
        </is>
      </c>
      <c r="O60" s="7" t="n">
        <v>73.283</v>
      </c>
      <c r="P60" s="7" t="n">
        <v>82.17563152313232</v>
      </c>
      <c r="Q60" s="7" t="n">
        <v>72.32490754127502</v>
      </c>
      <c r="R60" s="7" t="n">
        <v>72.32490754127502</v>
      </c>
      <c r="S60" s="8">
        <f>IF(N60="SUCCEEDED",P60/Q60,"")</f>
        <v/>
      </c>
      <c r="T60" s="8">
        <f>IF(N60="SUCCEEDED",P60/R60,"")</f>
        <v/>
      </c>
      <c r="U60" s="9">
        <f>IF(N60="SUCCEEDED",IF(D60="B0",O60-P60,O60-Q60),"")</f>
        <v/>
      </c>
      <c r="V60" s="7" t="n">
        <v>133.7469019889832</v>
      </c>
      <c r="W60" s="6" t="n">
        <v>0</v>
      </c>
      <c r="X60" s="7" t="n">
        <v>0</v>
      </c>
      <c r="Y60" s="6" t="n">
        <v>5</v>
      </c>
      <c r="Z60" s="6" t="n">
        <v>0</v>
      </c>
      <c r="AA60" s="6" t="n">
        <v>0</v>
      </c>
      <c r="AB60" s="6" t="n">
        <v>0</v>
      </c>
      <c r="AC60" s="10" t="n">
        <v>3081</v>
      </c>
      <c r="AD60" s="10" t="n">
        <v>6325</v>
      </c>
      <c r="AE60" s="10" t="n">
        <v>5371</v>
      </c>
      <c r="AF60" s="11" t="n">
        <v>0.09394175</v>
      </c>
      <c r="AG60" s="11" t="n">
        <v>0.001444207216</v>
      </c>
      <c r="AH60" s="11" t="n">
        <v>0.00015</v>
      </c>
      <c r="AI60" s="12">
        <f>AF60+AG60+AH60</f>
        <v/>
      </c>
      <c r="AJ60" s="6" t="n">
        <v>1</v>
      </c>
      <c r="AK60" s="6" t="inlineStr">
        <is>
          <t>yes</t>
        </is>
      </c>
    </row>
    <row r="61">
      <c r="A61" s="5" t="n">
        <v>1</v>
      </c>
      <c r="B61" s="5" t="n">
        <v>30</v>
      </c>
      <c r="C61" s="5" t="inlineStr">
        <is>
          <t>easy2_47</t>
        </is>
      </c>
      <c r="D61" s="5" t="inlineStr">
        <is>
          <t>B0</t>
        </is>
      </c>
      <c r="E61" s="5" t="inlineStr">
        <is>
          <t>2nd</t>
        </is>
      </c>
      <c r="F61" s="5" t="inlineStr">
        <is>
          <t>easy2</t>
        </is>
      </c>
      <c r="G61" s="5" t="inlineStr">
        <is>
          <t>easy</t>
        </is>
      </c>
      <c r="H61" s="6" t="n">
        <v>1</v>
      </c>
      <c r="I61" s="6" t="n">
        <v>0</v>
      </c>
      <c r="J61" s="6" t="n">
        <v>1</v>
      </c>
      <c r="K61" s="6" t="n">
        <v>5</v>
      </c>
      <c r="L61" s="6" t="n">
        <v>4</v>
      </c>
      <c r="M61" s="6" t="n">
        <v>2</v>
      </c>
      <c r="N61" s="6" t="inlineStr">
        <is>
          <t>SUCCEEDED</t>
        </is>
      </c>
      <c r="O61" s="7" t="n">
        <v>91.52800000000001</v>
      </c>
      <c r="P61" s="7" t="n">
        <v>90.11169099807739</v>
      </c>
      <c r="Q61" s="7" t="n">
        <v>81.37825298309326</v>
      </c>
      <c r="R61" s="7" t="n">
        <v>81.37825298309326</v>
      </c>
      <c r="S61" s="8">
        <f>IF(N61="SUCCEEDED",P61/Q61,"")</f>
        <v/>
      </c>
      <c r="T61" s="8">
        <f>IF(N61="SUCCEEDED",P61/R61,"")</f>
        <v/>
      </c>
      <c r="U61" s="9">
        <f>IF(N61="SUCCEEDED",IF(D61="B0",O61-P61,O61-Q61),"")</f>
        <v/>
      </c>
      <c r="V61" s="7" t="n">
        <v>0.2398900985717773</v>
      </c>
      <c r="W61" s="6" t="n">
        <v>0</v>
      </c>
      <c r="X61" s="7" t="n">
        <v>0</v>
      </c>
      <c r="Y61" s="6" t="n">
        <v>5</v>
      </c>
      <c r="Z61" s="6" t="n">
        <v>0</v>
      </c>
      <c r="AA61" s="6" t="n">
        <v>0</v>
      </c>
      <c r="AB61" s="6" t="n">
        <v>0</v>
      </c>
      <c r="AC61" s="10" t="n">
        <v>3081</v>
      </c>
      <c r="AD61" s="10" t="n">
        <v>6726</v>
      </c>
      <c r="AE61" s="10" t="n">
        <v>5772</v>
      </c>
      <c r="AF61" s="11" t="n">
        <v>0.09955575</v>
      </c>
      <c r="AG61" s="11" t="n">
        <v>0.0006071230306000001</v>
      </c>
      <c r="AH61" s="11" t="n">
        <v>0.000125</v>
      </c>
      <c r="AI61" s="12">
        <f>AF61+AG61+AH61</f>
        <v/>
      </c>
      <c r="AJ61" s="6" t="n">
        <v>1</v>
      </c>
      <c r="AK61" s="6" t="inlineStr">
        <is>
          <t>yes</t>
        </is>
      </c>
    </row>
    <row r="62">
      <c r="A62" s="5" t="n">
        <v>1</v>
      </c>
      <c r="B62" s="5" t="n">
        <v>31</v>
      </c>
      <c r="C62" s="5" t="inlineStr">
        <is>
          <t>easy2_43</t>
        </is>
      </c>
      <c r="D62" s="5" t="inlineStr">
        <is>
          <t>B0</t>
        </is>
      </c>
      <c r="E62" s="5" t="inlineStr">
        <is>
          <t>1st</t>
        </is>
      </c>
      <c r="F62" s="5" t="inlineStr">
        <is>
          <t>easy2</t>
        </is>
      </c>
      <c r="G62" s="5" t="inlineStr">
        <is>
          <t>easy</t>
        </is>
      </c>
      <c r="H62" s="6" t="n">
        <v>1</v>
      </c>
      <c r="I62" s="6" t="n">
        <v>0</v>
      </c>
      <c r="J62" s="6" t="n">
        <v>1</v>
      </c>
      <c r="K62" s="6" t="n">
        <v>5</v>
      </c>
      <c r="L62" s="6" t="n">
        <v>4</v>
      </c>
      <c r="M62" s="6" t="n">
        <v>2</v>
      </c>
      <c r="N62" s="6" t="inlineStr">
        <is>
          <t>SUCCEEDED</t>
        </is>
      </c>
      <c r="O62" s="7" t="n">
        <v>114.564</v>
      </c>
      <c r="P62" s="7" t="n">
        <v>113.1114912033081</v>
      </c>
      <c r="Q62" s="7" t="n">
        <v>109.9050118923187</v>
      </c>
      <c r="R62" s="7" t="n">
        <v>109.9050118923187</v>
      </c>
      <c r="S62" s="8">
        <f>IF(N62="SUCCEEDED",P62/Q62,"")</f>
        <v/>
      </c>
      <c r="T62" s="8">
        <f>IF(N62="SUCCEEDED",P62/R62,"")</f>
        <v/>
      </c>
      <c r="U62" s="9">
        <f>IF(N62="SUCCEEDED",IF(D62="B0",O62-P62,O62-Q62),"")</f>
        <v/>
      </c>
      <c r="V62" s="7" t="n">
        <v>0.2882516384124756</v>
      </c>
      <c r="W62" s="6" t="n">
        <v>0</v>
      </c>
      <c r="X62" s="7" t="n">
        <v>0</v>
      </c>
      <c r="Y62" s="6" t="n">
        <v>5</v>
      </c>
      <c r="Z62" s="6" t="n">
        <v>0</v>
      </c>
      <c r="AA62" s="6" t="n">
        <v>0</v>
      </c>
      <c r="AB62" s="6" t="n">
        <v>0</v>
      </c>
      <c r="AC62" s="10" t="n">
        <v>2538</v>
      </c>
      <c r="AD62" s="10" t="n">
        <v>8471</v>
      </c>
      <c r="AE62" s="10" t="n">
        <v>7990</v>
      </c>
      <c r="AF62" s="11" t="n">
        <v>0.1230355</v>
      </c>
      <c r="AG62" s="11" t="n">
        <v>0.000760737132</v>
      </c>
      <c r="AH62" s="11" t="n">
        <v>0.000125</v>
      </c>
      <c r="AI62" s="12">
        <f>AF62+AG62+AH62</f>
        <v/>
      </c>
      <c r="AJ62" s="6" t="n">
        <v>0</v>
      </c>
      <c r="AK62" s="6" t="inlineStr">
        <is>
          <t>yes</t>
        </is>
      </c>
    </row>
    <row r="63">
      <c r="A63" s="5" t="n">
        <v>1</v>
      </c>
      <c r="B63" s="5" t="n">
        <v>31</v>
      </c>
      <c r="C63" s="5" t="inlineStr">
        <is>
          <t>easy2_43</t>
        </is>
      </c>
      <c r="D63" s="5" t="inlineStr">
        <is>
          <t>A1</t>
        </is>
      </c>
      <c r="E63" s="5" t="inlineStr">
        <is>
          <t>2nd</t>
        </is>
      </c>
      <c r="F63" s="5" t="inlineStr">
        <is>
          <t>easy2</t>
        </is>
      </c>
      <c r="G63" s="5" t="inlineStr">
        <is>
          <t>easy</t>
        </is>
      </c>
      <c r="H63" s="6" t="n">
        <v>1</v>
      </c>
      <c r="I63" s="6" t="n">
        <v>0</v>
      </c>
      <c r="J63" s="6" t="n">
        <v>1</v>
      </c>
      <c r="K63" s="6" t="n">
        <v>5</v>
      </c>
      <c r="L63" s="6" t="n">
        <v>4</v>
      </c>
      <c r="M63" s="6" t="n">
        <v>2</v>
      </c>
      <c r="N63" s="6" t="inlineStr">
        <is>
          <t>SUCCEEDED</t>
        </is>
      </c>
      <c r="O63" s="7" t="n">
        <v>93.34999999999999</v>
      </c>
      <c r="P63" s="7" t="n">
        <v>96.28277897834778</v>
      </c>
      <c r="Q63" s="7" t="n">
        <v>92.34276509284973</v>
      </c>
      <c r="R63" s="7" t="n">
        <v>92.34276509284973</v>
      </c>
      <c r="S63" s="8">
        <f>IF(N63="SUCCEEDED",P63/Q63,"")</f>
        <v/>
      </c>
      <c r="T63" s="8">
        <f>IF(N63="SUCCEEDED",P63/R63,"")</f>
        <v/>
      </c>
      <c r="U63" s="9">
        <f>IF(N63="SUCCEEDED",IF(D63="B0",O63-P63,O63-Q63),"")</f>
        <v/>
      </c>
      <c r="V63" s="7" t="n">
        <v>169.7988638877869</v>
      </c>
      <c r="W63" s="6" t="n">
        <v>0</v>
      </c>
      <c r="X63" s="7" t="n">
        <v>0</v>
      </c>
      <c r="Y63" s="6" t="n">
        <v>5</v>
      </c>
      <c r="Z63" s="6" t="n">
        <v>0</v>
      </c>
      <c r="AA63" s="6" t="n">
        <v>0</v>
      </c>
      <c r="AB63" s="6" t="n">
        <v>0</v>
      </c>
      <c r="AC63" s="10" t="n">
        <v>2721</v>
      </c>
      <c r="AD63" s="10" t="n">
        <v>7306</v>
      </c>
      <c r="AE63" s="10" t="n">
        <v>6636</v>
      </c>
      <c r="AF63" s="11" t="n">
        <v>0.10704575</v>
      </c>
      <c r="AG63" s="11" t="n">
        <v>0.0017788422225</v>
      </c>
      <c r="AH63" s="11" t="n">
        <v>0.00015</v>
      </c>
      <c r="AI63" s="12">
        <f>AF63+AG63+AH63</f>
        <v/>
      </c>
      <c r="AJ63" s="6" t="n">
        <v>1</v>
      </c>
      <c r="AK63" s="6" t="inlineStr">
        <is>
          <t>no</t>
        </is>
      </c>
    </row>
    <row r="64">
      <c r="A64" s="5" t="n">
        <v>1</v>
      </c>
      <c r="B64" s="5" t="n">
        <v>32</v>
      </c>
      <c r="C64" s="5" t="inlineStr">
        <is>
          <t>hard3_38</t>
        </is>
      </c>
      <c r="D64" s="5" t="inlineStr">
        <is>
          <t>A1</t>
        </is>
      </c>
      <c r="E64" s="5" t="inlineStr">
        <is>
          <t>1st</t>
        </is>
      </c>
      <c r="F64" s="5" t="inlineStr">
        <is>
          <t>hard3</t>
        </is>
      </c>
      <c r="G64" s="5" t="inlineStr">
        <is>
          <t>hard</t>
        </is>
      </c>
      <c r="H64" s="6" t="n">
        <v>0</v>
      </c>
      <c r="I64" s="6" t="n">
        <v>1</v>
      </c>
      <c r="J64" s="6" t="n">
        <v>0</v>
      </c>
      <c r="K64" s="6" t="n">
        <v>15</v>
      </c>
      <c r="L64" s="6" t="n">
        <v>9</v>
      </c>
      <c r="M64" s="6" t="n">
        <v>4</v>
      </c>
      <c r="N64" s="6" t="inlineStr">
        <is>
          <t>SUCCEEDED</t>
        </is>
      </c>
      <c r="O64" s="7" t="n">
        <v>299.521</v>
      </c>
      <c r="P64" s="7" t="n">
        <v>388.3697924613953</v>
      </c>
      <c r="Q64" s="7" t="n">
        <v>298.0168237686157</v>
      </c>
      <c r="R64" s="7" t="n">
        <v>323.6576545238495</v>
      </c>
      <c r="S64" s="8">
        <f>IF(N64="SUCCEEDED",P64/Q64,"")</f>
        <v/>
      </c>
      <c r="T64" s="8">
        <f>IF(N64="SUCCEEDED",P64/R64,"")</f>
        <v/>
      </c>
      <c r="U64" s="9">
        <f>IF(N64="SUCCEEDED",IF(D64="B0",O64-P64,O64-Q64),"")</f>
        <v/>
      </c>
      <c r="V64" s="7" t="n">
        <v>1056.451095104218</v>
      </c>
      <c r="W64" s="6" t="n">
        <v>0</v>
      </c>
      <c r="X64" s="7" t="n">
        <v>0</v>
      </c>
      <c r="Y64" s="6" t="n">
        <v>15</v>
      </c>
      <c r="Z64" s="6" t="n">
        <v>0</v>
      </c>
      <c r="AA64" s="6" t="n">
        <v>0</v>
      </c>
      <c r="AB64" s="6" t="n">
        <v>0</v>
      </c>
      <c r="AC64" s="10" t="n">
        <v>8174</v>
      </c>
      <c r="AD64" s="10" t="n">
        <v>28351</v>
      </c>
      <c r="AE64" s="10" t="n">
        <v>27831</v>
      </c>
      <c r="AF64" s="11" t="n">
        <v>0.4112185</v>
      </c>
      <c r="AG64" s="11" t="n">
        <v>0.0096450282099</v>
      </c>
      <c r="AH64" s="11" t="n">
        <v>0.0004</v>
      </c>
      <c r="AI64" s="12">
        <f>AF64+AG64+AH64</f>
        <v/>
      </c>
      <c r="AJ64" s="6" t="n">
        <v>0</v>
      </c>
      <c r="AK64" s="6" t="inlineStr"/>
    </row>
    <row r="65">
      <c r="A65" s="5" t="n">
        <v>1</v>
      </c>
      <c r="B65" s="5" t="n">
        <v>32</v>
      </c>
      <c r="C65" s="5" t="inlineStr">
        <is>
          <t>hard3_38</t>
        </is>
      </c>
      <c r="D65" s="5" t="inlineStr">
        <is>
          <t>B0</t>
        </is>
      </c>
      <c r="E65" s="5" t="inlineStr">
        <is>
          <t>2nd</t>
        </is>
      </c>
      <c r="F65" s="5" t="inlineStr">
        <is>
          <t>hard3</t>
        </is>
      </c>
      <c r="G65" s="5" t="inlineStr">
        <is>
          <t>hard</t>
        </is>
      </c>
      <c r="H65" s="6" t="n">
        <v>0</v>
      </c>
      <c r="I65" s="6" t="n">
        <v>1</v>
      </c>
      <c r="J65" s="6" t="n">
        <v>0</v>
      </c>
      <c r="K65" s="6" t="n">
        <v>15</v>
      </c>
      <c r="L65" s="6" t="n">
        <v>9</v>
      </c>
      <c r="M65" s="6" t="n">
        <v>4</v>
      </c>
      <c r="N65" s="6" t="inlineStr">
        <is>
          <t>SUCCEEDED</t>
        </is>
      </c>
      <c r="O65" s="7" t="n">
        <v>292.623</v>
      </c>
      <c r="P65" s="7" t="n">
        <v>287.7752614021301</v>
      </c>
      <c r="Q65" s="7" t="n">
        <v>200.606053352356</v>
      </c>
      <c r="R65" s="7" t="n">
        <v>218.1565263271332</v>
      </c>
      <c r="S65" s="8">
        <f>IF(N65="SUCCEEDED",P65/Q65,"")</f>
        <v/>
      </c>
      <c r="T65" s="8">
        <f>IF(N65="SUCCEEDED",P65/R65,"")</f>
        <v/>
      </c>
      <c r="U65" s="9">
        <f>IF(N65="SUCCEEDED",IF(D65="B0",O65-P65,O65-Q65),"")</f>
        <v/>
      </c>
      <c r="V65" s="7" t="n">
        <v>1.073658227920532</v>
      </c>
      <c r="W65" s="6" t="n">
        <v>1</v>
      </c>
      <c r="X65" s="7" t="n">
        <v>0.37664</v>
      </c>
      <c r="Y65" s="6" t="n">
        <v>15</v>
      </c>
      <c r="Z65" s="6" t="n">
        <v>0</v>
      </c>
      <c r="AA65" s="6" t="n">
        <v>0</v>
      </c>
      <c r="AB65" s="6" t="n">
        <v>0</v>
      </c>
      <c r="AC65" s="10" t="n">
        <v>8043</v>
      </c>
      <c r="AD65" s="10" t="n">
        <v>21767</v>
      </c>
      <c r="AE65" s="10" t="n">
        <v>21313</v>
      </c>
      <c r="AF65" s="11" t="n">
        <v>0.31881325</v>
      </c>
      <c r="AG65" s="11" t="n">
        <v>0.001941543026</v>
      </c>
      <c r="AH65" s="11" t="n">
        <v>0.000375</v>
      </c>
      <c r="AI65" s="12">
        <f>AF65+AG65+AH65</f>
        <v/>
      </c>
      <c r="AJ65" s="6" t="n">
        <v>0</v>
      </c>
      <c r="AK65" s="6" t="inlineStr"/>
    </row>
    <row r="66">
      <c r="A66" s="5" t="n">
        <v>1</v>
      </c>
      <c r="B66" s="5" t="n">
        <v>33</v>
      </c>
      <c r="C66" s="5" t="inlineStr">
        <is>
          <t>easy2_23</t>
        </is>
      </c>
      <c r="D66" s="5" t="inlineStr">
        <is>
          <t>B0</t>
        </is>
      </c>
      <c r="E66" s="5" t="inlineStr">
        <is>
          <t>1st</t>
        </is>
      </c>
      <c r="F66" s="5" t="inlineStr">
        <is>
          <t>easy2</t>
        </is>
      </c>
      <c r="G66" s="5" t="inlineStr">
        <is>
          <t>easy</t>
        </is>
      </c>
      <c r="H66" s="6" t="n">
        <v>1</v>
      </c>
      <c r="I66" s="6" t="n">
        <v>0</v>
      </c>
      <c r="J66" s="6" t="n">
        <v>1</v>
      </c>
      <c r="K66" s="6" t="n">
        <v>5</v>
      </c>
      <c r="L66" s="6" t="n">
        <v>4</v>
      </c>
      <c r="M66" s="6" t="n">
        <v>2</v>
      </c>
      <c r="N66" s="6" t="inlineStr">
        <is>
          <t>SUCCEEDED</t>
        </is>
      </c>
      <c r="O66" s="7" t="n">
        <v>82.27</v>
      </c>
      <c r="P66" s="7" t="n">
        <v>80.89486122131348</v>
      </c>
      <c r="Q66" s="7" t="n">
        <v>75.68793177604675</v>
      </c>
      <c r="R66" s="7" t="n">
        <v>75.68793177604675</v>
      </c>
      <c r="S66" s="8">
        <f>IF(N66="SUCCEEDED",P66/Q66,"")</f>
        <v/>
      </c>
      <c r="T66" s="8">
        <f>IF(N66="SUCCEEDED",P66/R66,"")</f>
        <v/>
      </c>
      <c r="U66" s="9">
        <f>IF(N66="SUCCEEDED",IF(D66="B0",O66-P66,O66-Q66),"")</f>
        <v/>
      </c>
      <c r="V66" s="7" t="n">
        <v>0.2572240829467773</v>
      </c>
      <c r="W66" s="6" t="n">
        <v>0</v>
      </c>
      <c r="X66" s="7" t="n">
        <v>0</v>
      </c>
      <c r="Y66" s="6" t="n">
        <v>5</v>
      </c>
      <c r="Z66" s="6" t="n">
        <v>0</v>
      </c>
      <c r="AA66" s="6" t="n">
        <v>0</v>
      </c>
      <c r="AB66" s="6" t="n">
        <v>0</v>
      </c>
      <c r="AC66" s="10" t="n">
        <v>2713</v>
      </c>
      <c r="AD66" s="10" t="n">
        <v>6542</v>
      </c>
      <c r="AE66" s="10" t="n">
        <v>5878</v>
      </c>
      <c r="AF66" s="11" t="n">
        <v>0.09633575</v>
      </c>
      <c r="AG66" s="11" t="n">
        <v>0.0005456227231</v>
      </c>
      <c r="AH66" s="11" t="n">
        <v>0.000125</v>
      </c>
      <c r="AI66" s="12">
        <f>AF66+AG66+AH66</f>
        <v/>
      </c>
      <c r="AJ66" s="6" t="n">
        <v>0</v>
      </c>
      <c r="AK66" s="6" t="inlineStr">
        <is>
          <t>no</t>
        </is>
      </c>
    </row>
    <row r="67">
      <c r="A67" s="5" t="n">
        <v>1</v>
      </c>
      <c r="B67" s="5" t="n">
        <v>33</v>
      </c>
      <c r="C67" s="5" t="inlineStr">
        <is>
          <t>easy2_23</t>
        </is>
      </c>
      <c r="D67" s="5" t="inlineStr">
        <is>
          <t>A1</t>
        </is>
      </c>
      <c r="E67" s="5" t="inlineStr">
        <is>
          <t>2nd</t>
        </is>
      </c>
      <c r="F67" s="5" t="inlineStr">
        <is>
          <t>easy2</t>
        </is>
      </c>
      <c r="G67" s="5" t="inlineStr">
        <is>
          <t>easy</t>
        </is>
      </c>
      <c r="H67" s="6" t="n">
        <v>1</v>
      </c>
      <c r="I67" s="6" t="n">
        <v>0</v>
      </c>
      <c r="J67" s="6" t="n">
        <v>1</v>
      </c>
      <c r="K67" s="6" t="n">
        <v>5</v>
      </c>
      <c r="L67" s="6" t="n">
        <v>4</v>
      </c>
      <c r="M67" s="6" t="n">
        <v>2</v>
      </c>
      <c r="N67" s="6" t="inlineStr">
        <is>
          <t>SUCCEEDED</t>
        </is>
      </c>
      <c r="O67" s="7" t="n">
        <v>100.666</v>
      </c>
      <c r="P67" s="7" t="n">
        <v>107.3518199920654</v>
      </c>
      <c r="Q67" s="7" t="n">
        <v>99.85436868667603</v>
      </c>
      <c r="R67" s="7" t="n">
        <v>99.85436868667603</v>
      </c>
      <c r="S67" s="8">
        <f>IF(N67="SUCCEEDED",P67/Q67,"")</f>
        <v/>
      </c>
      <c r="T67" s="8">
        <f>IF(N67="SUCCEEDED",P67/R67,"")</f>
        <v/>
      </c>
      <c r="U67" s="9">
        <f>IF(N67="SUCCEEDED",IF(D67="B0",O67-P67,O67-Q67),"")</f>
        <v/>
      </c>
      <c r="V67" s="7" t="n">
        <v>198.2203774452209</v>
      </c>
      <c r="W67" s="6" t="n">
        <v>0</v>
      </c>
      <c r="X67" s="7" t="n">
        <v>0</v>
      </c>
      <c r="Y67" s="6" t="n">
        <v>5</v>
      </c>
      <c r="Z67" s="6" t="n">
        <v>0</v>
      </c>
      <c r="AA67" s="6" t="n">
        <v>0</v>
      </c>
      <c r="AB67" s="6" t="n">
        <v>0</v>
      </c>
      <c r="AC67" s="10" t="n">
        <v>2902</v>
      </c>
      <c r="AD67" s="10" t="n">
        <v>8302</v>
      </c>
      <c r="AE67" s="10" t="n">
        <v>7438</v>
      </c>
      <c r="AF67" s="11" t="n">
        <v>0.1213065</v>
      </c>
      <c r="AG67" s="11" t="n">
        <v>0.0020415902029</v>
      </c>
      <c r="AH67" s="11" t="n">
        <v>0.00015</v>
      </c>
      <c r="AI67" s="12">
        <f>AF67+AG67+AH67</f>
        <v/>
      </c>
      <c r="AJ67" s="6" t="n">
        <v>0</v>
      </c>
      <c r="AK67" s="6" t="inlineStr">
        <is>
          <t>no</t>
        </is>
      </c>
    </row>
    <row r="68">
      <c r="A68" s="5" t="n">
        <v>1</v>
      </c>
      <c r="B68" s="5" t="n">
        <v>34</v>
      </c>
      <c r="C68" s="5" t="inlineStr">
        <is>
          <t>protein_1PGA_query_7_mask_4</t>
        </is>
      </c>
      <c r="D68" s="5" t="inlineStr">
        <is>
          <t>A1</t>
        </is>
      </c>
      <c r="E68" s="5" t="inlineStr">
        <is>
          <t>1st</t>
        </is>
      </c>
      <c r="F68" s="5" t="inlineStr">
        <is>
          <t>hard4</t>
        </is>
      </c>
      <c r="G68" s="5" t="inlineStr">
        <is>
          <t>hard</t>
        </is>
      </c>
      <c r="H68" s="6" t="n">
        <v>0</v>
      </c>
      <c r="I68" s="6" t="n">
        <v>0</v>
      </c>
      <c r="J68" s="6" t="n">
        <v>0</v>
      </c>
      <c r="K68" s="6" t="n">
        <v>6</v>
      </c>
      <c r="L68" s="6" t="n">
        <v>5</v>
      </c>
      <c r="M68" s="6" t="n">
        <v>2</v>
      </c>
      <c r="N68" s="6" t="inlineStr">
        <is>
          <t>SUCCEEDED</t>
        </is>
      </c>
      <c r="O68" s="7" t="n">
        <v>105.827</v>
      </c>
      <c r="P68" s="7" t="n">
        <v>112.5119919776917</v>
      </c>
      <c r="Q68" s="7" t="n">
        <v>104.6708261966705</v>
      </c>
      <c r="R68" s="7" t="n">
        <v>104.6708261966705</v>
      </c>
      <c r="S68" s="8">
        <f>IF(N68="SUCCEEDED",P68/Q68,"")</f>
        <v/>
      </c>
      <c r="T68" s="8">
        <f>IF(N68="SUCCEEDED",P68/R68,"")</f>
        <v/>
      </c>
      <c r="U68" s="9">
        <f>IF(N68="SUCCEEDED",IF(D68="B0",O68-P68,O68-Q68),"")</f>
        <v/>
      </c>
      <c r="V68" s="7" t="n">
        <v>117.4179499149323</v>
      </c>
      <c r="W68" s="6" t="n">
        <v>0</v>
      </c>
      <c r="X68" s="7" t="n">
        <v>0</v>
      </c>
      <c r="Y68" s="6" t="n">
        <v>6</v>
      </c>
      <c r="Z68" s="6" t="n">
        <v>0</v>
      </c>
      <c r="AA68" s="6" t="n">
        <v>0</v>
      </c>
      <c r="AB68" s="6" t="n">
        <v>0</v>
      </c>
      <c r="AC68" s="10" t="n">
        <v>93340</v>
      </c>
      <c r="AD68" s="10" t="n">
        <v>10041</v>
      </c>
      <c r="AE68" s="10" t="n">
        <v>9852</v>
      </c>
      <c r="AF68" s="11" t="n">
        <v>0.3039190000000001</v>
      </c>
      <c r="AG68" s="11" t="n">
        <v>0.0015383876859</v>
      </c>
      <c r="AH68" s="11" t="n">
        <v>0.000175</v>
      </c>
      <c r="AI68" s="12">
        <f>AF68+AG68+AH68</f>
        <v/>
      </c>
      <c r="AJ68" s="6" t="n">
        <v>0</v>
      </c>
      <c r="AK68" s="6" t="inlineStr"/>
    </row>
    <row r="69">
      <c r="A69" s="5" t="n">
        <v>1</v>
      </c>
      <c r="B69" s="5" t="n">
        <v>34</v>
      </c>
      <c r="C69" s="5" t="inlineStr">
        <is>
          <t>protein_1PGA_query_7_mask_4</t>
        </is>
      </c>
      <c r="D69" s="5" t="inlineStr">
        <is>
          <t>B0</t>
        </is>
      </c>
      <c r="E69" s="5" t="inlineStr">
        <is>
          <t>2nd</t>
        </is>
      </c>
      <c r="F69" s="5" t="inlineStr">
        <is>
          <t>hard4</t>
        </is>
      </c>
      <c r="G69" s="5" t="inlineStr">
        <is>
          <t>hard</t>
        </is>
      </c>
      <c r="H69" s="6" t="n">
        <v>0</v>
      </c>
      <c r="I69" s="6" t="n">
        <v>0</v>
      </c>
      <c r="J69" s="6" t="n">
        <v>0</v>
      </c>
      <c r="K69" s="6" t="n">
        <v>6</v>
      </c>
      <c r="L69" s="6" t="n">
        <v>5</v>
      </c>
      <c r="M69" s="6" t="n">
        <v>2</v>
      </c>
      <c r="N69" s="6" t="inlineStr">
        <is>
          <t>SUCCEEDED</t>
        </is>
      </c>
      <c r="O69" s="7" t="n">
        <v>112.186</v>
      </c>
      <c r="P69" s="7" t="n">
        <v>110.3025197982788</v>
      </c>
      <c r="Q69" s="7" t="n">
        <v>102.2538819313049</v>
      </c>
      <c r="R69" s="7" t="n">
        <v>102.2538819313049</v>
      </c>
      <c r="S69" s="8">
        <f>IF(N69="SUCCEEDED",P69/Q69,"")</f>
        <v/>
      </c>
      <c r="T69" s="8">
        <f>IF(N69="SUCCEEDED",P69/R69,"")</f>
        <v/>
      </c>
      <c r="U69" s="9">
        <f>IF(N69="SUCCEEDED",IF(D69="B0",O69-P69,O69-Q69),"")</f>
        <v/>
      </c>
      <c r="V69" s="7" t="n">
        <v>0.4583115577697754</v>
      </c>
      <c r="W69" s="6" t="n">
        <v>0</v>
      </c>
      <c r="X69" s="7" t="n">
        <v>0</v>
      </c>
      <c r="Y69" s="6" t="n">
        <v>6</v>
      </c>
      <c r="Z69" s="6" t="n">
        <v>0</v>
      </c>
      <c r="AA69" s="6" t="n">
        <v>0</v>
      </c>
      <c r="AB69" s="6" t="n">
        <v>0</v>
      </c>
      <c r="AC69" s="10" t="n">
        <v>93356</v>
      </c>
      <c r="AD69" s="10" t="n">
        <v>10679</v>
      </c>
      <c r="AE69" s="10" t="n">
        <v>10464</v>
      </c>
      <c r="AF69" s="11" t="n">
        <v>0.312879</v>
      </c>
      <c r="AG69" s="11" t="n">
        <v>0.0007438437132</v>
      </c>
      <c r="AH69" s="11" t="n">
        <v>0.00015</v>
      </c>
      <c r="AI69" s="12">
        <f>AF69+AG69+AH69</f>
        <v/>
      </c>
      <c r="AJ69" s="6" t="n">
        <v>0</v>
      </c>
      <c r="AK69" s="6" t="inlineStr"/>
    </row>
    <row r="70">
      <c r="A70" s="5" t="n">
        <v>1</v>
      </c>
      <c r="B70" s="5" t="n">
        <v>35</v>
      </c>
      <c r="C70" s="5" t="inlineStr">
        <is>
          <t>protein_1CRN_query_3_mask_2</t>
        </is>
      </c>
      <c r="D70" s="5" t="inlineStr">
        <is>
          <t>B0</t>
        </is>
      </c>
      <c r="E70" s="5" t="inlineStr">
        <is>
          <t>1st</t>
        </is>
      </c>
      <c r="F70" s="5" t="inlineStr">
        <is>
          <t>med4</t>
        </is>
      </c>
      <c r="G70" s="5" t="inlineStr">
        <is>
          <t>medium</t>
        </is>
      </c>
      <c r="H70" s="6" t="n">
        <v>0</v>
      </c>
      <c r="I70" s="6" t="n">
        <v>0</v>
      </c>
      <c r="J70" s="6" t="n">
        <v>0</v>
      </c>
      <c r="K70" s="6" t="n">
        <v>6</v>
      </c>
      <c r="L70" s="6" t="n">
        <v>5</v>
      </c>
      <c r="M70" s="6" t="n">
        <v>2</v>
      </c>
      <c r="N70" s="6" t="inlineStr">
        <is>
          <t>SUCCEEDED</t>
        </is>
      </c>
      <c r="O70" s="7" t="n">
        <v>104.506</v>
      </c>
      <c r="P70" s="7" t="n">
        <v>102.6296284198761</v>
      </c>
      <c r="Q70" s="7" t="n">
        <v>94.02945351600647</v>
      </c>
      <c r="R70" s="7" t="n">
        <v>94.02945351600647</v>
      </c>
      <c r="S70" s="8">
        <f>IF(N70="SUCCEEDED",P70/Q70,"")</f>
        <v/>
      </c>
      <c r="T70" s="8">
        <f>IF(N70="SUCCEEDED",P70/R70,"")</f>
        <v/>
      </c>
      <c r="U70" s="9">
        <f>IF(N70="SUCCEEDED",IF(D70="B0",O70-P70,O70-Q70),"")</f>
        <v/>
      </c>
      <c r="V70" s="7" t="n">
        <v>0.4585115909576416</v>
      </c>
      <c r="W70" s="6" t="n">
        <v>0</v>
      </c>
      <c r="X70" s="7" t="n">
        <v>0</v>
      </c>
      <c r="Y70" s="6" t="n">
        <v>6</v>
      </c>
      <c r="Z70" s="6" t="n">
        <v>0</v>
      </c>
      <c r="AA70" s="6" t="n">
        <v>0</v>
      </c>
      <c r="AB70" s="6" t="n">
        <v>0</v>
      </c>
      <c r="AC70" s="10" t="n">
        <v>70807</v>
      </c>
      <c r="AD70" s="10" t="n">
        <v>7893</v>
      </c>
      <c r="AE70" s="10" t="n">
        <v>7691</v>
      </c>
      <c r="AF70" s="11" t="n">
        <v>0.23441425</v>
      </c>
      <c r="AG70" s="11" t="n">
        <v>0.0006930567926</v>
      </c>
      <c r="AH70" s="11" t="n">
        <v>0.00015</v>
      </c>
      <c r="AI70" s="12">
        <f>AF70+AG70+AH70</f>
        <v/>
      </c>
      <c r="AJ70" s="6" t="n">
        <v>0</v>
      </c>
      <c r="AK70" s="6" t="inlineStr"/>
    </row>
    <row r="71">
      <c r="A71" s="5" t="n">
        <v>1</v>
      </c>
      <c r="B71" s="5" t="n">
        <v>35</v>
      </c>
      <c r="C71" s="5" t="inlineStr">
        <is>
          <t>protein_1CRN_query_3_mask_2</t>
        </is>
      </c>
      <c r="D71" s="5" t="inlineStr">
        <is>
          <t>A1</t>
        </is>
      </c>
      <c r="E71" s="5" t="inlineStr">
        <is>
          <t>2nd</t>
        </is>
      </c>
      <c r="F71" s="5" t="inlineStr">
        <is>
          <t>med4</t>
        </is>
      </c>
      <c r="G71" s="5" t="inlineStr">
        <is>
          <t>medium</t>
        </is>
      </c>
      <c r="H71" s="6" t="n">
        <v>0</v>
      </c>
      <c r="I71" s="6" t="n">
        <v>0</v>
      </c>
      <c r="J71" s="6" t="n">
        <v>0</v>
      </c>
      <c r="K71" s="6" t="n">
        <v>6</v>
      </c>
      <c r="L71" s="6" t="n">
        <v>5</v>
      </c>
      <c r="M71" s="6" t="n">
        <v>2</v>
      </c>
      <c r="N71" s="6" t="inlineStr">
        <is>
          <t>SUCCEEDED</t>
        </is>
      </c>
      <c r="O71" s="7" t="n">
        <v>105.053</v>
      </c>
      <c r="P71" s="7" t="n">
        <v>109.1708443164825</v>
      </c>
      <c r="Q71" s="7" t="n">
        <v>103.7650623321533</v>
      </c>
      <c r="R71" s="7" t="n">
        <v>103.7650623321533</v>
      </c>
      <c r="S71" s="8">
        <f>IF(N71="SUCCEEDED",P71/Q71,"")</f>
        <v/>
      </c>
      <c r="T71" s="8">
        <f>IF(N71="SUCCEEDED",P71/R71,"")</f>
        <v/>
      </c>
      <c r="U71" s="9">
        <f>IF(N71="SUCCEEDED",IF(D71="B0",O71-P71,O71-Q71),"")</f>
        <v/>
      </c>
      <c r="V71" s="7" t="n">
        <v>179.2833404541016</v>
      </c>
      <c r="W71" s="6" t="n">
        <v>0</v>
      </c>
      <c r="X71" s="7" t="n">
        <v>0</v>
      </c>
      <c r="Y71" s="6" t="n">
        <v>6</v>
      </c>
      <c r="Z71" s="6" t="n">
        <v>0</v>
      </c>
      <c r="AA71" s="6" t="n">
        <v>0</v>
      </c>
      <c r="AB71" s="6" t="n">
        <v>0</v>
      </c>
      <c r="AC71" s="10" t="n">
        <v>70865</v>
      </c>
      <c r="AD71" s="10" t="n">
        <v>10295</v>
      </c>
      <c r="AE71" s="10" t="n">
        <v>10073</v>
      </c>
      <c r="AF71" s="11" t="n">
        <v>0.26814375</v>
      </c>
      <c r="AG71" s="11" t="n">
        <v>0.0019283963026</v>
      </c>
      <c r="AH71" s="11" t="n">
        <v>0.000175</v>
      </c>
      <c r="AI71" s="12">
        <f>AF71+AG71+AH71</f>
        <v/>
      </c>
      <c r="AJ71" s="6" t="n">
        <v>0</v>
      </c>
      <c r="AK71" s="6" t="inlineStr"/>
    </row>
    <row r="72">
      <c r="A72" s="5" t="n">
        <v>1</v>
      </c>
      <c r="B72" s="5" t="n">
        <v>36</v>
      </c>
      <c r="C72" s="5" t="inlineStr">
        <is>
          <t>med3_16</t>
        </is>
      </c>
      <c r="D72" s="5" t="inlineStr">
        <is>
          <t>A1</t>
        </is>
      </c>
      <c r="E72" s="5" t="inlineStr">
        <is>
          <t>1st</t>
        </is>
      </c>
      <c r="F72" s="5" t="inlineStr">
        <is>
          <t>med3</t>
        </is>
      </c>
      <c r="G72" s="5" t="inlineStr">
        <is>
          <t>medium</t>
        </is>
      </c>
      <c r="H72" s="6" t="n">
        <v>0</v>
      </c>
      <c r="I72" s="6" t="n">
        <v>1</v>
      </c>
      <c r="J72" s="6" t="n">
        <v>0</v>
      </c>
      <c r="K72" s="6" t="n">
        <v>11</v>
      </c>
      <c r="L72" s="6" t="n">
        <v>6</v>
      </c>
      <c r="M72" s="6" t="n">
        <v>2</v>
      </c>
      <c r="N72" s="6" t="inlineStr">
        <is>
          <t>SUCCEEDED</t>
        </is>
      </c>
      <c r="O72" s="7" t="n">
        <v>198.749</v>
      </c>
      <c r="P72" s="7" t="n">
        <v>381.6867887973785</v>
      </c>
      <c r="Q72" s="7" t="n">
        <v>197.2821695804596</v>
      </c>
      <c r="R72" s="7" t="n">
        <v>273.5381608009338</v>
      </c>
      <c r="S72" s="8">
        <f>IF(N72="SUCCEEDED",P72/Q72,"")</f>
        <v/>
      </c>
      <c r="T72" s="8">
        <f>IF(N72="SUCCEEDED",P72/R72,"")</f>
        <v/>
      </c>
      <c r="U72" s="9">
        <f>IF(N72="SUCCEEDED",IF(D72="B0",O72-P72,O72-Q72),"")</f>
        <v/>
      </c>
      <c r="V72" s="7" t="n">
        <v>791.9615120887756</v>
      </c>
      <c r="W72" s="6" t="n">
        <v>0</v>
      </c>
      <c r="X72" s="7" t="n">
        <v>0</v>
      </c>
      <c r="Y72" s="6" t="n">
        <v>11</v>
      </c>
      <c r="Z72" s="6" t="n">
        <v>0</v>
      </c>
      <c r="AA72" s="6" t="n">
        <v>0</v>
      </c>
      <c r="AB72" s="6" t="n">
        <v>0</v>
      </c>
      <c r="AC72" s="10" t="n">
        <v>6420</v>
      </c>
      <c r="AD72" s="10" t="n">
        <v>28640</v>
      </c>
      <c r="AE72" s="10" t="n">
        <v>28075</v>
      </c>
      <c r="AF72" s="11" t="n">
        <v>0.412195</v>
      </c>
      <c r="AG72" s="11" t="n">
        <v>0.007834265826800002</v>
      </c>
      <c r="AH72" s="11" t="n">
        <v>0.0003</v>
      </c>
      <c r="AI72" s="12">
        <f>AF72+AG72+AH72</f>
        <v/>
      </c>
      <c r="AJ72" s="6" t="n">
        <v>0</v>
      </c>
      <c r="AK72" s="6" t="inlineStr"/>
    </row>
    <row r="73">
      <c r="A73" s="5" t="n">
        <v>1</v>
      </c>
      <c r="B73" s="5" t="n">
        <v>36</v>
      </c>
      <c r="C73" s="5" t="inlineStr">
        <is>
          <t>med3_16</t>
        </is>
      </c>
      <c r="D73" s="5" t="inlineStr">
        <is>
          <t>B0</t>
        </is>
      </c>
      <c r="E73" s="5" t="inlineStr">
        <is>
          <t>2nd</t>
        </is>
      </c>
      <c r="F73" s="5" t="inlineStr">
        <is>
          <t>med3</t>
        </is>
      </c>
      <c r="G73" s="5" t="inlineStr">
        <is>
          <t>medium</t>
        </is>
      </c>
      <c r="H73" s="6" t="n">
        <v>0</v>
      </c>
      <c r="I73" s="6" t="n">
        <v>1</v>
      </c>
      <c r="J73" s="6" t="n">
        <v>0</v>
      </c>
      <c r="K73" s="6" t="n">
        <v>11</v>
      </c>
      <c r="L73" s="6" t="n">
        <v>6</v>
      </c>
      <c r="M73" s="6" t="n">
        <v>2</v>
      </c>
      <c r="N73" s="6" t="inlineStr">
        <is>
          <t>SUCCEEDED</t>
        </is>
      </c>
      <c r="O73" s="7" t="n">
        <v>359.108</v>
      </c>
      <c r="P73" s="7" t="n">
        <v>352.2428259849548</v>
      </c>
      <c r="Q73" s="7" t="n">
        <v>195.7099158763885</v>
      </c>
      <c r="R73" s="7" t="n">
        <v>244.5513513088226</v>
      </c>
      <c r="S73" s="8">
        <f>IF(N73="SUCCEEDED",P73/Q73,"")</f>
        <v/>
      </c>
      <c r="T73" s="8">
        <f>IF(N73="SUCCEEDED",P73/R73,"")</f>
        <v/>
      </c>
      <c r="U73" s="9">
        <f>IF(N73="SUCCEEDED",IF(D73="B0",O73-P73,O73-Q73),"")</f>
        <v/>
      </c>
      <c r="V73" s="7" t="n">
        <v>0.7452383041381836</v>
      </c>
      <c r="W73" s="6" t="n">
        <v>3</v>
      </c>
      <c r="X73" s="7" t="n">
        <v>3.04164</v>
      </c>
      <c r="Y73" s="6" t="n">
        <v>11</v>
      </c>
      <c r="Z73" s="6" t="n">
        <v>0</v>
      </c>
      <c r="AA73" s="6" t="n">
        <v>0</v>
      </c>
      <c r="AB73" s="6" t="n">
        <v>0</v>
      </c>
      <c r="AC73" s="10" t="n">
        <v>6408</v>
      </c>
      <c r="AD73" s="10" t="n">
        <v>27274</v>
      </c>
      <c r="AE73" s="10" t="n">
        <v>26742</v>
      </c>
      <c r="AF73" s="11" t="n">
        <v>0.39305</v>
      </c>
      <c r="AG73" s="11" t="n">
        <v>0.0023837385743</v>
      </c>
      <c r="AH73" s="11" t="n">
        <v>0.000275</v>
      </c>
      <c r="AI73" s="12">
        <f>AF73+AG73+AH73</f>
        <v/>
      </c>
      <c r="AJ73" s="6" t="n">
        <v>0</v>
      </c>
      <c r="AK73" s="6" t="inlineStr"/>
    </row>
    <row r="74">
      <c r="A74" s="5" t="n">
        <v>1</v>
      </c>
      <c r="B74" s="5" t="n">
        <v>37</v>
      </c>
      <c r="C74" s="5" t="inlineStr">
        <is>
          <t>hard2_39</t>
        </is>
      </c>
      <c r="D74" s="5" t="inlineStr">
        <is>
          <t>B0</t>
        </is>
      </c>
      <c r="E74" s="5" t="inlineStr">
        <is>
          <t>1st</t>
        </is>
      </c>
      <c r="F74" s="5" t="inlineStr">
        <is>
          <t>hard2</t>
        </is>
      </c>
      <c r="G74" s="5" t="inlineStr">
        <is>
          <t>hard</t>
        </is>
      </c>
      <c r="H74" s="6" t="n">
        <v>0</v>
      </c>
      <c r="I74" s="6" t="n">
        <v>1</v>
      </c>
      <c r="J74" s="6" t="n">
        <v>0</v>
      </c>
      <c r="K74" s="6" t="n">
        <v>16</v>
      </c>
      <c r="L74" s="6" t="n">
        <v>10</v>
      </c>
      <c r="M74" s="6" t="n">
        <v>5</v>
      </c>
      <c r="N74" s="6" t="inlineStr">
        <is>
          <t>SUCCEEDED</t>
        </is>
      </c>
      <c r="O74" s="7" t="n">
        <v>267.666</v>
      </c>
      <c r="P74" s="7" t="n">
        <v>262.8474013805389</v>
      </c>
      <c r="Q74" s="7" t="n">
        <v>188.7438402175903</v>
      </c>
      <c r="R74" s="7" t="n">
        <v>203.476437330246</v>
      </c>
      <c r="S74" s="8">
        <f>IF(N74="SUCCEEDED",P74/Q74,"")</f>
        <v/>
      </c>
      <c r="T74" s="8">
        <f>IF(N74="SUCCEEDED",P74/R74,"")</f>
        <v/>
      </c>
      <c r="U74" s="9">
        <f>IF(N74="SUCCEEDED",IF(D74="B0",O74-P74,O74-Q74),"")</f>
        <v/>
      </c>
      <c r="V74" s="7" t="n">
        <v>1.184691905975342</v>
      </c>
      <c r="W74" s="6" t="n">
        <v>0</v>
      </c>
      <c r="X74" s="7" t="n">
        <v>0</v>
      </c>
      <c r="Y74" s="6" t="n">
        <v>16</v>
      </c>
      <c r="Z74" s="6" t="n">
        <v>0</v>
      </c>
      <c r="AA74" s="6" t="n">
        <v>0</v>
      </c>
      <c r="AB74" s="6" t="n">
        <v>0</v>
      </c>
      <c r="AC74" s="10" t="n">
        <v>8658</v>
      </c>
      <c r="AD74" s="10" t="n">
        <v>15953</v>
      </c>
      <c r="AE74" s="10" t="n">
        <v>15119</v>
      </c>
      <c r="AF74" s="11" t="n">
        <v>0.2384935</v>
      </c>
      <c r="AG74" s="11" t="n">
        <v>0.0017754221944</v>
      </c>
      <c r="AH74" s="11" t="n">
        <v>0.0004</v>
      </c>
      <c r="AI74" s="12">
        <f>AF74+AG74+AH74</f>
        <v/>
      </c>
      <c r="AJ74" s="6" t="n">
        <v>0</v>
      </c>
      <c r="AK74" s="6" t="inlineStr"/>
    </row>
    <row r="75">
      <c r="A75" s="5" t="n">
        <v>1</v>
      </c>
      <c r="B75" s="5" t="n">
        <v>37</v>
      </c>
      <c r="C75" s="5" t="inlineStr">
        <is>
          <t>hard2_39</t>
        </is>
      </c>
      <c r="D75" s="5" t="inlineStr">
        <is>
          <t>A1</t>
        </is>
      </c>
      <c r="E75" s="5" t="inlineStr">
        <is>
          <t>2nd</t>
        </is>
      </c>
      <c r="F75" s="5" t="inlineStr">
        <is>
          <t>hard2</t>
        </is>
      </c>
      <c r="G75" s="5" t="inlineStr">
        <is>
          <t>hard</t>
        </is>
      </c>
      <c r="H75" s="6" t="n">
        <v>0</v>
      </c>
      <c r="I75" s="6" t="n">
        <v>1</v>
      </c>
      <c r="J75" s="6" t="n">
        <v>0</v>
      </c>
      <c r="K75" s="6" t="n">
        <v>16</v>
      </c>
      <c r="L75" s="6" t="n">
        <v>10</v>
      </c>
      <c r="M75" s="6" t="n">
        <v>5</v>
      </c>
      <c r="N75" s="6" t="inlineStr">
        <is>
          <t>SUCCEEDED</t>
        </is>
      </c>
      <c r="O75" s="7" t="n">
        <v>380.747</v>
      </c>
      <c r="P75" s="7" t="n">
        <v>218.1273522377014</v>
      </c>
      <c r="Q75" s="7" t="n">
        <v>167.5623362064362</v>
      </c>
      <c r="R75" s="7" t="n">
        <v>173.6380145549774</v>
      </c>
      <c r="S75" s="8">
        <f>IF(N75="SUCCEEDED",P75/Q75,"")</f>
        <v/>
      </c>
      <c r="T75" s="8">
        <f>IF(N75="SUCCEEDED",P75/R75,"")</f>
        <v/>
      </c>
      <c r="U75" s="9">
        <f>IF(N75="SUCCEEDED",IF(D75="B0",O75-P75,O75-Q75),"")</f>
        <v/>
      </c>
      <c r="V75" s="7" t="n">
        <v>608.924535036087</v>
      </c>
      <c r="W75" s="6" t="n">
        <v>0</v>
      </c>
      <c r="X75" s="7" t="n">
        <v>0</v>
      </c>
      <c r="Y75" s="6" t="n">
        <v>17</v>
      </c>
      <c r="Z75" s="6" t="n">
        <v>1</v>
      </c>
      <c r="AA75" s="6" t="n">
        <v>0</v>
      </c>
      <c r="AB75" s="6" t="n">
        <v>1</v>
      </c>
      <c r="AC75" s="10" t="n">
        <v>9324</v>
      </c>
      <c r="AD75" s="10" t="n">
        <v>32623</v>
      </c>
      <c r="AE75" s="10" t="n">
        <v>31829</v>
      </c>
      <c r="AF75" s="11" t="n">
        <v>0.473039</v>
      </c>
      <c r="AG75" s="11" t="n">
        <v>0.0069234279333</v>
      </c>
      <c r="AH75" s="11" t="n">
        <v>0.00045</v>
      </c>
      <c r="AI75" s="12">
        <f>AF75+AG75+AH75</f>
        <v/>
      </c>
      <c r="AJ75" s="6" t="n">
        <v>0</v>
      </c>
      <c r="AK75" s="6" t="inlineStr"/>
    </row>
    <row r="76">
      <c r="A76" s="5" t="n">
        <v>1</v>
      </c>
      <c r="B76" s="5" t="n">
        <v>38</v>
      </c>
      <c r="C76" s="5" t="inlineStr">
        <is>
          <t>med1_45</t>
        </is>
      </c>
      <c r="D76" s="5" t="inlineStr">
        <is>
          <t>A1</t>
        </is>
      </c>
      <c r="E76" s="5" t="inlineStr">
        <is>
          <t>1st</t>
        </is>
      </c>
      <c r="F76" s="5" t="inlineStr">
        <is>
          <t>med1</t>
        </is>
      </c>
      <c r="G76" s="5" t="inlineStr">
        <is>
          <t>medium</t>
        </is>
      </c>
      <c r="H76" s="6" t="n">
        <v>0</v>
      </c>
      <c r="I76" s="6" t="n">
        <v>0</v>
      </c>
      <c r="J76" s="6" t="n">
        <v>0</v>
      </c>
      <c r="K76" s="6" t="n">
        <v>9</v>
      </c>
      <c r="L76" s="6" t="n">
        <v>4</v>
      </c>
      <c r="M76" s="6" t="n">
        <v>5</v>
      </c>
      <c r="N76" s="6" t="inlineStr">
        <is>
          <t>SUCCEEDED</t>
        </is>
      </c>
      <c r="O76" s="7" t="n">
        <v>161.28</v>
      </c>
      <c r="P76" s="7" t="n">
        <v>291.3492159843445</v>
      </c>
      <c r="Q76" s="7" t="n">
        <v>160.2291548252106</v>
      </c>
      <c r="R76" s="7" t="n">
        <v>197.4539523124695</v>
      </c>
      <c r="S76" s="8">
        <f>IF(N76="SUCCEEDED",P76/Q76,"")</f>
        <v/>
      </c>
      <c r="T76" s="8">
        <f>IF(N76="SUCCEEDED",P76/R76,"")</f>
        <v/>
      </c>
      <c r="U76" s="9">
        <f>IF(N76="SUCCEEDED",IF(D76="B0",O76-P76,O76-Q76),"")</f>
        <v/>
      </c>
      <c r="V76" s="7" t="n">
        <v>144.6093122959137</v>
      </c>
      <c r="W76" s="6" t="n">
        <v>0</v>
      </c>
      <c r="X76" s="7" t="n">
        <v>0</v>
      </c>
      <c r="Y76" s="6" t="n">
        <v>9</v>
      </c>
      <c r="Z76" s="6" t="n">
        <v>0</v>
      </c>
      <c r="AA76" s="6" t="n">
        <v>0</v>
      </c>
      <c r="AB76" s="6" t="n">
        <v>0</v>
      </c>
      <c r="AC76" s="10" t="n">
        <v>4181</v>
      </c>
      <c r="AD76" s="10" t="n">
        <v>19277</v>
      </c>
      <c r="AE76" s="10" t="n">
        <v>18816</v>
      </c>
      <c r="AF76" s="11" t="n">
        <v>0.27719475</v>
      </c>
      <c r="AG76" s="11" t="n">
        <v>0.0029145012301</v>
      </c>
      <c r="AH76" s="11" t="n">
        <v>0.00025</v>
      </c>
      <c r="AI76" s="12">
        <f>AF76+AG76+AH76</f>
        <v/>
      </c>
      <c r="AJ76" s="6" t="n">
        <v>0</v>
      </c>
      <c r="AK76" s="6" t="inlineStr"/>
    </row>
    <row r="77">
      <c r="A77" s="5" t="n">
        <v>1</v>
      </c>
      <c r="B77" s="5" t="n">
        <v>38</v>
      </c>
      <c r="C77" s="5" t="inlineStr">
        <is>
          <t>med1_45</t>
        </is>
      </c>
      <c r="D77" s="5" t="inlineStr">
        <is>
          <t>B0</t>
        </is>
      </c>
      <c r="E77" s="5" t="inlineStr">
        <is>
          <t>2nd</t>
        </is>
      </c>
      <c r="F77" s="5" t="inlineStr">
        <is>
          <t>med1</t>
        </is>
      </c>
      <c r="G77" s="5" t="inlineStr">
        <is>
          <t>medium</t>
        </is>
      </c>
      <c r="H77" s="6" t="n">
        <v>0</v>
      </c>
      <c r="I77" s="6" t="n">
        <v>0</v>
      </c>
      <c r="J77" s="6" t="n">
        <v>0</v>
      </c>
      <c r="K77" s="6" t="n">
        <v>9</v>
      </c>
      <c r="L77" s="6" t="n">
        <v>4</v>
      </c>
      <c r="M77" s="6" t="n">
        <v>5</v>
      </c>
      <c r="N77" s="6" t="inlineStr">
        <is>
          <t>SUCCEEDED</t>
        </is>
      </c>
      <c r="O77" s="7" t="n">
        <v>238.964</v>
      </c>
      <c r="P77" s="7" t="n">
        <v>236.4753286838531</v>
      </c>
      <c r="Q77" s="7" t="n">
        <v>148.4808855056763</v>
      </c>
      <c r="R77" s="7" t="n">
        <v>174.3858144283295</v>
      </c>
      <c r="S77" s="8">
        <f>IF(N77="SUCCEEDED",P77/Q77,"")</f>
        <v/>
      </c>
      <c r="T77" s="8">
        <f>IF(N77="SUCCEEDED",P77/R77,"")</f>
        <v/>
      </c>
      <c r="U77" s="9">
        <f>IF(N77="SUCCEEDED",IF(D77="B0",O77-P77,O77-Q77),"")</f>
        <v/>
      </c>
      <c r="V77" s="7" t="n">
        <v>0.4304146766662598</v>
      </c>
      <c r="W77" s="6" t="n">
        <v>0</v>
      </c>
      <c r="X77" s="7" t="n">
        <v>0</v>
      </c>
      <c r="Y77" s="6" t="n">
        <v>9</v>
      </c>
      <c r="Z77" s="6" t="n">
        <v>0</v>
      </c>
      <c r="AA77" s="6" t="n">
        <v>0</v>
      </c>
      <c r="AB77" s="6" t="n">
        <v>0</v>
      </c>
      <c r="AC77" s="10" t="n">
        <v>4105</v>
      </c>
      <c r="AD77" s="10" t="n">
        <v>17546</v>
      </c>
      <c r="AE77" s="10" t="n">
        <v>17143</v>
      </c>
      <c r="AF77" s="11" t="n">
        <v>0.25282775</v>
      </c>
      <c r="AG77" s="11" t="n">
        <v>0.0015880345978</v>
      </c>
      <c r="AH77" s="11" t="n">
        <v>0.000225</v>
      </c>
      <c r="AI77" s="12">
        <f>AF77+AG77+AH77</f>
        <v/>
      </c>
      <c r="AJ77" s="6" t="n">
        <v>0</v>
      </c>
      <c r="AK77" s="6" t="inlineStr"/>
    </row>
    <row r="78">
      <c r="A78" s="5" t="n">
        <v>1</v>
      </c>
      <c r="B78" s="5" t="n">
        <v>39</v>
      </c>
      <c r="C78" s="5" t="inlineStr">
        <is>
          <t>hard1_13</t>
        </is>
      </c>
      <c r="D78" s="5" t="inlineStr">
        <is>
          <t>B0</t>
        </is>
      </c>
      <c r="E78" s="5" t="inlineStr">
        <is>
          <t>1st</t>
        </is>
      </c>
      <c r="F78" s="5" t="inlineStr">
        <is>
          <t>hard1</t>
        </is>
      </c>
      <c r="G78" s="5" t="inlineStr">
        <is>
          <t>hard</t>
        </is>
      </c>
      <c r="H78" s="6" t="n">
        <v>0</v>
      </c>
      <c r="I78" s="6" t="n">
        <v>1</v>
      </c>
      <c r="J78" s="6" t="n">
        <v>0</v>
      </c>
      <c r="K78" s="6" t="n">
        <v>16</v>
      </c>
      <c r="L78" s="6" t="n">
        <v>9</v>
      </c>
      <c r="M78" s="6" t="n">
        <v>5</v>
      </c>
      <c r="N78" s="6" t="inlineStr">
        <is>
          <t>SUCCEEDED</t>
        </is>
      </c>
      <c r="O78" s="7" t="n">
        <v>279.513</v>
      </c>
      <c r="P78" s="7" t="n">
        <v>274.8387241363525</v>
      </c>
      <c r="Q78" s="7" t="n">
        <v>217.419810295105</v>
      </c>
      <c r="R78" s="7" t="n">
        <v>231.5039012432098</v>
      </c>
      <c r="S78" s="8">
        <f>IF(N78="SUCCEEDED",P78/Q78,"")</f>
        <v/>
      </c>
      <c r="T78" s="8">
        <f>IF(N78="SUCCEEDED",P78/R78,"")</f>
        <v/>
      </c>
      <c r="U78" s="9">
        <f>IF(N78="SUCCEEDED",IF(D78="B0",O78-P78,O78-Q78),"")</f>
        <v/>
      </c>
      <c r="V78" s="7" t="n">
        <v>1.150372505187988</v>
      </c>
      <c r="W78" s="6" t="n">
        <v>0</v>
      </c>
      <c r="X78" s="7" t="n">
        <v>0</v>
      </c>
      <c r="Y78" s="6" t="n">
        <v>16</v>
      </c>
      <c r="Z78" s="6" t="n">
        <v>0</v>
      </c>
      <c r="AA78" s="6" t="n">
        <v>0</v>
      </c>
      <c r="AB78" s="6" t="n">
        <v>0</v>
      </c>
      <c r="AC78" s="10" t="n">
        <v>10083</v>
      </c>
      <c r="AD78" s="10" t="n">
        <v>22135</v>
      </c>
      <c r="AE78" s="10" t="n">
        <v>21447</v>
      </c>
      <c r="AF78" s="11" t="n">
        <v>0.32753525</v>
      </c>
      <c r="AG78" s="11" t="n">
        <v>0.0018538892534</v>
      </c>
      <c r="AH78" s="11" t="n">
        <v>0.0004</v>
      </c>
      <c r="AI78" s="12">
        <f>AF78+AG78+AH78</f>
        <v/>
      </c>
      <c r="AJ78" s="6" t="n">
        <v>0</v>
      </c>
      <c r="AK78" s="6" t="inlineStr"/>
    </row>
    <row r="79">
      <c r="A79" s="5" t="n">
        <v>1</v>
      </c>
      <c r="B79" s="5" t="n">
        <v>39</v>
      </c>
      <c r="C79" s="5" t="inlineStr">
        <is>
          <t>hard1_13</t>
        </is>
      </c>
      <c r="D79" s="5" t="inlineStr">
        <is>
          <t>A1</t>
        </is>
      </c>
      <c r="E79" s="5" t="inlineStr">
        <is>
          <t>2nd</t>
        </is>
      </c>
      <c r="F79" s="5" t="inlineStr">
        <is>
          <t>hard1</t>
        </is>
      </c>
      <c r="G79" s="5" t="inlineStr">
        <is>
          <t>hard</t>
        </is>
      </c>
      <c r="H79" s="6" t="n">
        <v>0</v>
      </c>
      <c r="I79" s="6" t="n">
        <v>1</v>
      </c>
      <c r="J79" s="6" t="n">
        <v>0</v>
      </c>
      <c r="K79" s="6" t="n">
        <v>16</v>
      </c>
      <c r="L79" s="6" t="n">
        <v>9</v>
      </c>
      <c r="M79" s="6" t="n">
        <v>5</v>
      </c>
      <c r="N79" s="6" t="inlineStr">
        <is>
          <t>SUCCEEDED</t>
        </is>
      </c>
      <c r="O79" s="7" t="n">
        <v>251.456</v>
      </c>
      <c r="P79" s="7" t="n">
        <v>316.6291146278381</v>
      </c>
      <c r="Q79" s="7" t="n">
        <v>249.7327611446381</v>
      </c>
      <c r="R79" s="7" t="n">
        <v>263.2373495101929</v>
      </c>
      <c r="S79" s="8">
        <f>IF(N79="SUCCEEDED",P79/Q79,"")</f>
        <v/>
      </c>
      <c r="T79" s="8">
        <f>IF(N79="SUCCEEDED",P79/R79,"")</f>
        <v/>
      </c>
      <c r="U79" s="9">
        <f>IF(N79="SUCCEEDED",IF(D79="B0",O79-P79,O79-Q79),"")</f>
        <v/>
      </c>
      <c r="V79" s="7" t="n">
        <v>770.2697639465332</v>
      </c>
      <c r="W79" s="6" t="n">
        <v>0</v>
      </c>
      <c r="X79" s="7" t="n">
        <v>0</v>
      </c>
      <c r="Y79" s="6" t="n">
        <v>16</v>
      </c>
      <c r="Z79" s="6" t="n">
        <v>0</v>
      </c>
      <c r="AA79" s="6" t="n">
        <v>0</v>
      </c>
      <c r="AB79" s="6" t="n">
        <v>0</v>
      </c>
      <c r="AC79" s="10" t="n">
        <v>10106</v>
      </c>
      <c r="AD79" s="10" t="n">
        <v>23579</v>
      </c>
      <c r="AE79" s="10" t="n">
        <v>22886</v>
      </c>
      <c r="AF79" s="11" t="n">
        <v>0.3477915</v>
      </c>
      <c r="AG79" s="11" t="n">
        <v>0.0072597629493</v>
      </c>
      <c r="AH79" s="11" t="n">
        <v>0.000425</v>
      </c>
      <c r="AI79" s="12">
        <f>AF79+AG79+AH79</f>
        <v/>
      </c>
      <c r="AJ79" s="6" t="n">
        <v>0</v>
      </c>
      <c r="AK79" s="6" t="inlineStr"/>
    </row>
    <row r="80">
      <c r="A80" s="5" t="n">
        <v>1</v>
      </c>
      <c r="B80" s="5" t="n">
        <v>40</v>
      </c>
      <c r="C80" s="5" t="inlineStr">
        <is>
          <t>easy1_39</t>
        </is>
      </c>
      <c r="D80" s="5" t="inlineStr">
        <is>
          <t>A1</t>
        </is>
      </c>
      <c r="E80" s="5" t="inlineStr">
        <is>
          <t>1st</t>
        </is>
      </c>
      <c r="F80" s="5" t="inlineStr">
        <is>
          <t>easy1</t>
        </is>
      </c>
      <c r="G80" s="5" t="inlineStr">
        <is>
          <t>easy</t>
        </is>
      </c>
      <c r="H80" s="6" t="n">
        <v>1</v>
      </c>
      <c r="I80" s="6" t="n">
        <v>0</v>
      </c>
      <c r="J80" s="6" t="n">
        <v>0</v>
      </c>
      <c r="K80" s="6" t="n">
        <v>5</v>
      </c>
      <c r="L80" s="6" t="n">
        <v>4</v>
      </c>
      <c r="M80" s="6" t="n">
        <v>2</v>
      </c>
      <c r="N80" s="6" t="inlineStr">
        <is>
          <t>SUCCEEDED</t>
        </is>
      </c>
      <c r="O80" s="7" t="n">
        <v>27.008</v>
      </c>
      <c r="P80" s="7" t="n">
        <v>39.24645042419434</v>
      </c>
      <c r="Q80" s="7" t="n">
        <v>26.60747861862183</v>
      </c>
      <c r="R80" s="7" t="n">
        <v>32.9928731918335</v>
      </c>
      <c r="S80" s="8">
        <f>IF(N80="SUCCEEDED",P80/Q80,"")</f>
        <v/>
      </c>
      <c r="T80" s="8">
        <f>IF(N80="SUCCEEDED",P80/R80,"")</f>
        <v/>
      </c>
      <c r="U80" s="9">
        <f>IF(N80="SUCCEEDED",IF(D80="B0",O80-P80,O80-Q80),"")</f>
        <v/>
      </c>
      <c r="V80" s="7" t="n">
        <v>30.03028082847595</v>
      </c>
      <c r="W80" s="6" t="n">
        <v>0</v>
      </c>
      <c r="X80" s="7" t="n">
        <v>0</v>
      </c>
      <c r="Y80" s="6" t="n">
        <v>5</v>
      </c>
      <c r="Z80" s="6" t="n">
        <v>0</v>
      </c>
      <c r="AA80" s="6" t="n">
        <v>0</v>
      </c>
      <c r="AB80" s="6" t="n">
        <v>0</v>
      </c>
      <c r="AC80" s="10" t="n">
        <v>2031</v>
      </c>
      <c r="AD80" s="10" t="n">
        <v>2475</v>
      </c>
      <c r="AE80" s="10" t="n">
        <v>2306</v>
      </c>
      <c r="AF80" s="11" t="n">
        <v>0.03820425</v>
      </c>
      <c r="AG80" s="11" t="n">
        <v>0.0004660489919000001</v>
      </c>
      <c r="AH80" s="11" t="n">
        <v>0.00015</v>
      </c>
      <c r="AI80" s="12">
        <f>AF80+AG80+AH80</f>
        <v/>
      </c>
      <c r="AJ80" s="6" t="n">
        <v>0</v>
      </c>
      <c r="AK80" s="6" t="inlineStr"/>
    </row>
    <row r="81">
      <c r="A81" s="5" t="n">
        <v>1</v>
      </c>
      <c r="B81" s="5" t="n">
        <v>40</v>
      </c>
      <c r="C81" s="5" t="inlineStr">
        <is>
          <t>easy1_39</t>
        </is>
      </c>
      <c r="D81" s="5" t="inlineStr">
        <is>
          <t>B0</t>
        </is>
      </c>
      <c r="E81" s="5" t="inlineStr">
        <is>
          <t>2nd</t>
        </is>
      </c>
      <c r="F81" s="5" t="inlineStr">
        <is>
          <t>easy1</t>
        </is>
      </c>
      <c r="G81" s="5" t="inlineStr">
        <is>
          <t>easy</t>
        </is>
      </c>
      <c r="H81" s="6" t="n">
        <v>1</v>
      </c>
      <c r="I81" s="6" t="n">
        <v>0</v>
      </c>
      <c r="J81" s="6" t="n">
        <v>0</v>
      </c>
      <c r="K81" s="6" t="n">
        <v>5</v>
      </c>
      <c r="L81" s="6" t="n">
        <v>4</v>
      </c>
      <c r="M81" s="6" t="n">
        <v>2</v>
      </c>
      <c r="N81" s="6" t="inlineStr">
        <is>
          <t>SUCCEEDED</t>
        </is>
      </c>
      <c r="O81" s="7" t="n">
        <v>50.242</v>
      </c>
      <c r="P81" s="7" t="n">
        <v>48.99837636947632</v>
      </c>
      <c r="Q81" s="7" t="n">
        <v>36.89569187164307</v>
      </c>
      <c r="R81" s="7" t="n">
        <v>43.38824605941772</v>
      </c>
      <c r="S81" s="8">
        <f>IF(N81="SUCCEEDED",P81/Q81,"")</f>
        <v/>
      </c>
      <c r="T81" s="8">
        <f>IF(N81="SUCCEEDED",P81/R81,"")</f>
        <v/>
      </c>
      <c r="U81" s="9">
        <f>IF(N81="SUCCEEDED",IF(D81="B0",O81-P81,O81-Q81),"")</f>
        <v/>
      </c>
      <c r="V81" s="7" t="n">
        <v>0.2073254585266113</v>
      </c>
      <c r="W81" s="6" t="n">
        <v>0</v>
      </c>
      <c r="X81" s="7" t="n">
        <v>0</v>
      </c>
      <c r="Y81" s="6" t="n">
        <v>5</v>
      </c>
      <c r="Z81" s="6" t="n">
        <v>0</v>
      </c>
      <c r="AA81" s="6" t="n">
        <v>0</v>
      </c>
      <c r="AB81" s="6" t="n">
        <v>0</v>
      </c>
      <c r="AC81" s="10" t="n">
        <v>2036</v>
      </c>
      <c r="AD81" s="10" t="n">
        <v>3114</v>
      </c>
      <c r="AE81" s="10" t="n">
        <v>2943</v>
      </c>
      <c r="AF81" s="11" t="n">
        <v>0.047159</v>
      </c>
      <c r="AG81" s="11" t="n">
        <v>0.0003320216551</v>
      </c>
      <c r="AH81" s="11" t="n">
        <v>0.000125</v>
      </c>
      <c r="AI81" s="12">
        <f>AF81+AG81+AH81</f>
        <v/>
      </c>
      <c r="AJ81" s="6" t="n">
        <v>0</v>
      </c>
      <c r="AK81" s="6" t="inlineStr"/>
    </row>
    <row r="82">
      <c r="A82" s="5" t="n">
        <v>1</v>
      </c>
      <c r="B82" s="5" t="n">
        <v>41</v>
      </c>
      <c r="C82" s="5" t="inlineStr">
        <is>
          <t>easy2_14</t>
        </is>
      </c>
      <c r="D82" s="5" t="inlineStr">
        <is>
          <t>B0</t>
        </is>
      </c>
      <c r="E82" s="5" t="inlineStr">
        <is>
          <t>1st</t>
        </is>
      </c>
      <c r="F82" s="5" t="inlineStr">
        <is>
          <t>easy2</t>
        </is>
      </c>
      <c r="G82" s="5" t="inlineStr">
        <is>
          <t>easy</t>
        </is>
      </c>
      <c r="H82" s="6" t="n">
        <v>1</v>
      </c>
      <c r="I82" s="6" t="n">
        <v>0</v>
      </c>
      <c r="J82" s="6" t="n">
        <v>1</v>
      </c>
      <c r="K82" s="6" t="n">
        <v>5</v>
      </c>
      <c r="L82" s="6" t="n">
        <v>4</v>
      </c>
      <c r="M82" s="6" t="n">
        <v>2</v>
      </c>
      <c r="N82" s="6" t="inlineStr">
        <is>
          <t>SUCCEEDED</t>
        </is>
      </c>
      <c r="O82" s="7" t="n">
        <v>98.09099999999999</v>
      </c>
      <c r="P82" s="7" t="n">
        <v>96.75842690467834</v>
      </c>
      <c r="Q82" s="7" t="n">
        <v>90.88214445114136</v>
      </c>
      <c r="R82" s="7" t="n">
        <v>90.88214445114136</v>
      </c>
      <c r="S82" s="8">
        <f>IF(N82="SUCCEEDED",P82/Q82,"")</f>
        <v/>
      </c>
      <c r="T82" s="8">
        <f>IF(N82="SUCCEEDED",P82/R82,"")</f>
        <v/>
      </c>
      <c r="U82" s="9">
        <f>IF(N82="SUCCEEDED",IF(D82="B0",O82-P82,O82-Q82),"")</f>
        <v/>
      </c>
      <c r="V82" s="7" t="n">
        <v>0.2300941944122314</v>
      </c>
      <c r="W82" s="6" t="n">
        <v>0</v>
      </c>
      <c r="X82" s="7" t="n">
        <v>0</v>
      </c>
      <c r="Y82" s="6" t="n">
        <v>5</v>
      </c>
      <c r="Z82" s="6" t="n">
        <v>0</v>
      </c>
      <c r="AA82" s="6" t="n">
        <v>0</v>
      </c>
      <c r="AB82" s="6" t="n">
        <v>0</v>
      </c>
      <c r="AC82" s="10" t="n">
        <v>2792</v>
      </c>
      <c r="AD82" s="10" t="n">
        <v>7129</v>
      </c>
      <c r="AE82" s="10" t="n">
        <v>6413</v>
      </c>
      <c r="AF82" s="11" t="n">
        <v>0.104692</v>
      </c>
      <c r="AG82" s="11" t="n">
        <v>0.0006509965833</v>
      </c>
      <c r="AH82" s="11" t="n">
        <v>0.000125</v>
      </c>
      <c r="AI82" s="12">
        <f>AF82+AG82+AH82</f>
        <v/>
      </c>
      <c r="AJ82" s="6" t="n">
        <v>1</v>
      </c>
      <c r="AK82" s="6" t="inlineStr">
        <is>
          <t>no</t>
        </is>
      </c>
    </row>
    <row r="83">
      <c r="A83" s="5" t="n">
        <v>1</v>
      </c>
      <c r="B83" s="5" t="n">
        <v>41</v>
      </c>
      <c r="C83" s="5" t="inlineStr">
        <is>
          <t>easy2_14</t>
        </is>
      </c>
      <c r="D83" s="5" t="inlineStr">
        <is>
          <t>A1</t>
        </is>
      </c>
      <c r="E83" s="5" t="inlineStr">
        <is>
          <t>2nd</t>
        </is>
      </c>
      <c r="F83" s="5" t="inlineStr">
        <is>
          <t>easy2</t>
        </is>
      </c>
      <c r="G83" s="5" t="inlineStr">
        <is>
          <t>easy</t>
        </is>
      </c>
      <c r="H83" s="6" t="n">
        <v>1</v>
      </c>
      <c r="I83" s="6" t="n">
        <v>0</v>
      </c>
      <c r="J83" s="6" t="n">
        <v>1</v>
      </c>
      <c r="K83" s="6" t="n">
        <v>5</v>
      </c>
      <c r="L83" s="6" t="n">
        <v>4</v>
      </c>
      <c r="M83" s="6" t="n">
        <v>2</v>
      </c>
      <c r="N83" s="6" t="inlineStr">
        <is>
          <t>SUCCEEDED</t>
        </is>
      </c>
      <c r="O83" s="7" t="n">
        <v>72.51300000000001</v>
      </c>
      <c r="P83" s="7" t="n">
        <v>76.93512058258057</v>
      </c>
      <c r="Q83" s="7" t="n">
        <v>71.5527503490448</v>
      </c>
      <c r="R83" s="7" t="n">
        <v>71.5527503490448</v>
      </c>
      <c r="S83" s="8">
        <f>IF(N83="SUCCEEDED",P83/Q83,"")</f>
        <v/>
      </c>
      <c r="T83" s="8">
        <f>IF(N83="SUCCEEDED",P83/R83,"")</f>
        <v/>
      </c>
      <c r="U83" s="9">
        <f>IF(N83="SUCCEEDED",IF(D83="B0",O83-P83,O83-Q83),"")</f>
        <v/>
      </c>
      <c r="V83" s="7" t="n">
        <v>116.6030201911926</v>
      </c>
      <c r="W83" s="6" t="n">
        <v>0</v>
      </c>
      <c r="X83" s="7" t="n">
        <v>0</v>
      </c>
      <c r="Y83" s="6" t="n">
        <v>5</v>
      </c>
      <c r="Z83" s="6" t="n">
        <v>0</v>
      </c>
      <c r="AA83" s="6" t="n">
        <v>0</v>
      </c>
      <c r="AB83" s="6" t="n">
        <v>0</v>
      </c>
      <c r="AC83" s="10" t="n">
        <v>2498</v>
      </c>
      <c r="AD83" s="10" t="n">
        <v>5668</v>
      </c>
      <c r="AE83" s="10" t="n">
        <v>5233</v>
      </c>
      <c r="AF83" s="11" t="n">
        <v>0.08372350000000001</v>
      </c>
      <c r="AG83" s="11" t="n">
        <v>0.0012947531354</v>
      </c>
      <c r="AH83" s="11" t="n">
        <v>0.00015</v>
      </c>
      <c r="AI83" s="12">
        <f>AF83+AG83+AH83</f>
        <v/>
      </c>
      <c r="AJ83" s="6" t="n">
        <v>1</v>
      </c>
      <c r="AK83" s="6" t="inlineStr">
        <is>
          <t>no</t>
        </is>
      </c>
    </row>
    <row r="84">
      <c r="A84" s="5" t="n">
        <v>1</v>
      </c>
      <c r="B84" s="5" t="n">
        <v>42</v>
      </c>
      <c r="C84" s="5" t="inlineStr">
        <is>
          <t>easy1_9</t>
        </is>
      </c>
      <c r="D84" s="5" t="inlineStr">
        <is>
          <t>A1</t>
        </is>
      </c>
      <c r="E84" s="5" t="inlineStr">
        <is>
          <t>1st</t>
        </is>
      </c>
      <c r="F84" s="5" t="inlineStr">
        <is>
          <t>easy1</t>
        </is>
      </c>
      <c r="G84" s="5" t="inlineStr">
        <is>
          <t>easy</t>
        </is>
      </c>
      <c r="H84" s="6" t="n">
        <v>1</v>
      </c>
      <c r="I84" s="6" t="n">
        <v>0</v>
      </c>
      <c r="J84" s="6" t="n">
        <v>0</v>
      </c>
      <c r="K84" s="6" t="n">
        <v>5</v>
      </c>
      <c r="L84" s="6" t="n">
        <v>4</v>
      </c>
      <c r="M84" s="6" t="n">
        <v>2</v>
      </c>
      <c r="N84" s="6" t="inlineStr">
        <is>
          <t>SUCCEEDED</t>
        </is>
      </c>
      <c r="O84" s="7" t="n">
        <v>63.737</v>
      </c>
      <c r="P84" s="7" t="n">
        <v>80.73981261253357</v>
      </c>
      <c r="Q84" s="7" t="n">
        <v>63.05643653869629</v>
      </c>
      <c r="R84" s="7" t="n">
        <v>73.11737298965454</v>
      </c>
      <c r="S84" s="8">
        <f>IF(N84="SUCCEEDED",P84/Q84,"")</f>
        <v/>
      </c>
      <c r="T84" s="8">
        <f>IF(N84="SUCCEEDED",P84/R84,"")</f>
        <v/>
      </c>
      <c r="U84" s="9">
        <f>IF(N84="SUCCEEDED",IF(D84="B0",O84-P84,O84-Q84),"")</f>
        <v/>
      </c>
      <c r="V84" s="7" t="n">
        <v>48.00414609909058</v>
      </c>
      <c r="W84" s="6" t="n">
        <v>0</v>
      </c>
      <c r="X84" s="7" t="n">
        <v>0</v>
      </c>
      <c r="Y84" s="6" t="n">
        <v>5</v>
      </c>
      <c r="Z84" s="6" t="n">
        <v>0</v>
      </c>
      <c r="AA84" s="6" t="n">
        <v>0</v>
      </c>
      <c r="AB84" s="6" t="n">
        <v>0</v>
      </c>
      <c r="AC84" s="10" t="n">
        <v>2171</v>
      </c>
      <c r="AD84" s="10" t="n">
        <v>6056</v>
      </c>
      <c r="AE84" s="10" t="n">
        <v>5862</v>
      </c>
      <c r="AF84" s="11" t="n">
        <v>0.08858324999999999</v>
      </c>
      <c r="AG84" s="11" t="n">
        <v>0.0008633243116000001</v>
      </c>
      <c r="AH84" s="11" t="n">
        <v>0.00015</v>
      </c>
      <c r="AI84" s="12">
        <f>AF84+AG84+AH84</f>
        <v/>
      </c>
      <c r="AJ84" s="6" t="n">
        <v>0</v>
      </c>
      <c r="AK84" s="6" t="inlineStr"/>
    </row>
    <row r="85">
      <c r="A85" s="5" t="n">
        <v>1</v>
      </c>
      <c r="B85" s="5" t="n">
        <v>42</v>
      </c>
      <c r="C85" s="5" t="inlineStr">
        <is>
          <t>easy1_9</t>
        </is>
      </c>
      <c r="D85" s="5" t="inlineStr">
        <is>
          <t>B0</t>
        </is>
      </c>
      <c r="E85" s="5" t="inlineStr">
        <is>
          <t>2nd</t>
        </is>
      </c>
      <c r="F85" s="5" t="inlineStr">
        <is>
          <t>easy1</t>
        </is>
      </c>
      <c r="G85" s="5" t="inlineStr">
        <is>
          <t>easy</t>
        </is>
      </c>
      <c r="H85" s="6" t="n">
        <v>1</v>
      </c>
      <c r="I85" s="6" t="n">
        <v>0</v>
      </c>
      <c r="J85" s="6" t="n">
        <v>0</v>
      </c>
      <c r="K85" s="6" t="n">
        <v>5</v>
      </c>
      <c r="L85" s="6" t="n">
        <v>4</v>
      </c>
      <c r="M85" s="6" t="n">
        <v>2</v>
      </c>
      <c r="N85" s="6" t="inlineStr">
        <is>
          <t>SUCCEEDED</t>
        </is>
      </c>
      <c r="O85" s="7" t="n">
        <v>64.483</v>
      </c>
      <c r="P85" s="7" t="n">
        <v>63.23684430122375</v>
      </c>
      <c r="Q85" s="7" t="n">
        <v>47.43610310554504</v>
      </c>
      <c r="R85" s="7" t="n">
        <v>54.1082489490509</v>
      </c>
      <c r="S85" s="8">
        <f>IF(N85="SUCCEEDED",P85/Q85,"")</f>
        <v/>
      </c>
      <c r="T85" s="8">
        <f>IF(N85="SUCCEEDED",P85/R85,"")</f>
        <v/>
      </c>
      <c r="U85" s="9">
        <f>IF(N85="SUCCEEDED",IF(D85="B0",O85-P85,O85-Q85),"")</f>
        <v/>
      </c>
      <c r="V85" s="7" t="n">
        <v>0.2212693691253662</v>
      </c>
      <c r="W85" s="6" t="n">
        <v>0</v>
      </c>
      <c r="X85" s="7" t="n">
        <v>0</v>
      </c>
      <c r="Y85" s="6" t="n">
        <v>5</v>
      </c>
      <c r="Z85" s="6" t="n">
        <v>0</v>
      </c>
      <c r="AA85" s="6" t="n">
        <v>0</v>
      </c>
      <c r="AB85" s="6" t="n">
        <v>0</v>
      </c>
      <c r="AC85" s="10" t="n">
        <v>2191</v>
      </c>
      <c r="AD85" s="10" t="n">
        <v>4929</v>
      </c>
      <c r="AE85" s="10" t="n">
        <v>4734</v>
      </c>
      <c r="AF85" s="11" t="n">
        <v>0.07284025</v>
      </c>
      <c r="AG85" s="11" t="n">
        <v>0.0004270154634000001</v>
      </c>
      <c r="AH85" s="11" t="n">
        <v>0.000125</v>
      </c>
      <c r="AI85" s="12">
        <f>AF85+AG85+AH85</f>
        <v/>
      </c>
      <c r="AJ85" s="6" t="n">
        <v>1</v>
      </c>
      <c r="AK85" s="6" t="inlineStr"/>
    </row>
    <row r="86">
      <c r="A86" s="5" t="n">
        <v>1</v>
      </c>
      <c r="B86" s="5" t="n">
        <v>43</v>
      </c>
      <c r="C86" s="5" t="inlineStr">
        <is>
          <t>protein_1CRN_query_2_mask_2</t>
        </is>
      </c>
      <c r="D86" s="5" t="inlineStr">
        <is>
          <t>B0</t>
        </is>
      </c>
      <c r="E86" s="5" t="inlineStr">
        <is>
          <t>1st</t>
        </is>
      </c>
      <c r="F86" s="5" t="inlineStr">
        <is>
          <t>med4</t>
        </is>
      </c>
      <c r="G86" s="5" t="inlineStr">
        <is>
          <t>medium</t>
        </is>
      </c>
      <c r="H86" s="6" t="n">
        <v>0</v>
      </c>
      <c r="I86" s="6" t="n">
        <v>0</v>
      </c>
      <c r="J86" s="6" t="n">
        <v>0</v>
      </c>
      <c r="K86" s="6" t="n">
        <v>6</v>
      </c>
      <c r="L86" s="6" t="n">
        <v>5</v>
      </c>
      <c r="M86" s="6" t="n">
        <v>2</v>
      </c>
      <c r="N86" s="6" t="inlineStr">
        <is>
          <t>SUCCEEDED</t>
        </is>
      </c>
      <c r="O86" s="7" t="n">
        <v>135.542</v>
      </c>
      <c r="P86" s="7" t="n">
        <v>133.7977106571198</v>
      </c>
      <c r="Q86" s="7" t="n">
        <v>128.1950831413269</v>
      </c>
      <c r="R86" s="7" t="n">
        <v>128.1950831413269</v>
      </c>
      <c r="S86" s="8">
        <f>IF(N86="SUCCEEDED",P86/Q86,"")</f>
        <v/>
      </c>
      <c r="T86" s="8">
        <f>IF(N86="SUCCEEDED",P86/R86,"")</f>
        <v/>
      </c>
      <c r="U86" s="9">
        <f>IF(N86="SUCCEEDED",IF(D86="B0",O86-P86,O86-Q86),"")</f>
        <v/>
      </c>
      <c r="V86" s="7" t="n">
        <v>0.4782447814941406</v>
      </c>
      <c r="W86" s="6" t="n">
        <v>0</v>
      </c>
      <c r="X86" s="7" t="n">
        <v>0</v>
      </c>
      <c r="Y86" s="6" t="n">
        <v>6</v>
      </c>
      <c r="Z86" s="6" t="n">
        <v>0</v>
      </c>
      <c r="AA86" s="6" t="n">
        <v>0</v>
      </c>
      <c r="AB86" s="6" t="n">
        <v>0</v>
      </c>
      <c r="AC86" s="10" t="n">
        <v>70844</v>
      </c>
      <c r="AD86" s="10" t="n">
        <v>11811</v>
      </c>
      <c r="AE86" s="10" t="n">
        <v>11612</v>
      </c>
      <c r="AF86" s="11" t="n">
        <v>0.289331</v>
      </c>
      <c r="AG86" s="11" t="n">
        <v>0.0009002844954</v>
      </c>
      <c r="AH86" s="11" t="n">
        <v>0.00015</v>
      </c>
      <c r="AI86" s="12">
        <f>AF86+AG86+AH86</f>
        <v/>
      </c>
      <c r="AJ86" s="6" t="n">
        <v>0</v>
      </c>
      <c r="AK86" s="6" t="inlineStr"/>
    </row>
    <row r="87">
      <c r="A87" s="5" t="n">
        <v>1</v>
      </c>
      <c r="B87" s="5" t="n">
        <v>43</v>
      </c>
      <c r="C87" s="5" t="inlineStr">
        <is>
          <t>protein_1CRN_query_2_mask_2</t>
        </is>
      </c>
      <c r="D87" s="5" t="inlineStr">
        <is>
          <t>A1</t>
        </is>
      </c>
      <c r="E87" s="5" t="inlineStr">
        <is>
          <t>2nd</t>
        </is>
      </c>
      <c r="F87" s="5" t="inlineStr">
        <is>
          <t>med4</t>
        </is>
      </c>
      <c r="G87" s="5" t="inlineStr">
        <is>
          <t>medium</t>
        </is>
      </c>
      <c r="H87" s="6" t="n">
        <v>0</v>
      </c>
      <c r="I87" s="6" t="n">
        <v>0</v>
      </c>
      <c r="J87" s="6" t="n">
        <v>0</v>
      </c>
      <c r="K87" s="6" t="n">
        <v>6</v>
      </c>
      <c r="L87" s="6" t="n">
        <v>5</v>
      </c>
      <c r="M87" s="6" t="n">
        <v>2</v>
      </c>
      <c r="N87" s="6" t="inlineStr">
        <is>
          <t>SUCCEEDED</t>
        </is>
      </c>
      <c r="O87" s="7" t="n">
        <v>118.053</v>
      </c>
      <c r="P87" s="7" t="n">
        <v>124.2454781532288</v>
      </c>
      <c r="Q87" s="7" t="n">
        <v>116.8944654464722</v>
      </c>
      <c r="R87" s="7" t="n">
        <v>116.8944654464722</v>
      </c>
      <c r="S87" s="8">
        <f>IF(N87="SUCCEEDED",P87/Q87,"")</f>
        <v/>
      </c>
      <c r="T87" s="8">
        <f>IF(N87="SUCCEEDED",P87/R87,"")</f>
        <v/>
      </c>
      <c r="U87" s="9">
        <f>IF(N87="SUCCEEDED",IF(D87="B0",O87-P87,O87-Q87),"")</f>
        <v/>
      </c>
      <c r="V87" s="7" t="n">
        <v>228.3479704856873</v>
      </c>
      <c r="W87" s="6" t="n">
        <v>0</v>
      </c>
      <c r="X87" s="7" t="n">
        <v>0</v>
      </c>
      <c r="Y87" s="6" t="n">
        <v>6</v>
      </c>
      <c r="Z87" s="6" t="n">
        <v>0</v>
      </c>
      <c r="AA87" s="6" t="n">
        <v>0</v>
      </c>
      <c r="AB87" s="6" t="n">
        <v>0</v>
      </c>
      <c r="AC87" s="10" t="n">
        <v>70901</v>
      </c>
      <c r="AD87" s="10" t="n">
        <v>10064</v>
      </c>
      <c r="AE87" s="10" t="n">
        <v>9837</v>
      </c>
      <c r="AF87" s="11" t="n">
        <v>0.26497275</v>
      </c>
      <c r="AG87" s="11" t="n">
        <v>0.0023556917724</v>
      </c>
      <c r="AH87" s="11" t="n">
        <v>0.000175</v>
      </c>
      <c r="AI87" s="12">
        <f>AF87+AG87+AH87</f>
        <v/>
      </c>
      <c r="AJ87" s="6" t="n">
        <v>0</v>
      </c>
      <c r="AK87" s="6" t="inlineStr"/>
    </row>
    <row r="88">
      <c r="A88" s="5" t="n">
        <v>1</v>
      </c>
      <c r="B88" s="5" t="n">
        <v>44</v>
      </c>
      <c r="C88" s="5" t="inlineStr">
        <is>
          <t>protein_8RXN_query_9_mask_2</t>
        </is>
      </c>
      <c r="D88" s="5" t="inlineStr">
        <is>
          <t>A1</t>
        </is>
      </c>
      <c r="E88" s="5" t="inlineStr">
        <is>
          <t>1st</t>
        </is>
      </c>
      <c r="F88" s="5" t="inlineStr">
        <is>
          <t>med4</t>
        </is>
      </c>
      <c r="G88" s="5" t="inlineStr">
        <is>
          <t>medium</t>
        </is>
      </c>
      <c r="H88" s="6" t="n">
        <v>0</v>
      </c>
      <c r="I88" s="6" t="n">
        <v>0</v>
      </c>
      <c r="J88" s="6" t="n">
        <v>0</v>
      </c>
      <c r="K88" s="6" t="n">
        <v>6</v>
      </c>
      <c r="L88" s="6" t="n">
        <v>5</v>
      </c>
      <c r="M88" s="6" t="n">
        <v>2</v>
      </c>
      <c r="N88" s="6" t="inlineStr">
        <is>
          <t>SUCCEEDED</t>
        </is>
      </c>
      <c r="O88" s="7" t="n">
        <v>145.492</v>
      </c>
      <c r="P88" s="7" t="n">
        <v>153.5676846504211</v>
      </c>
      <c r="Q88" s="7" t="n">
        <v>144.3772299289703</v>
      </c>
      <c r="R88" s="7" t="n">
        <v>144.3772299289703</v>
      </c>
      <c r="S88" s="8">
        <f>IF(N88="SUCCEEDED",P88/Q88,"")</f>
        <v/>
      </c>
      <c r="T88" s="8">
        <f>IF(N88="SUCCEEDED",P88/R88,"")</f>
        <v/>
      </c>
      <c r="U88" s="9">
        <f>IF(N88="SUCCEEDED",IF(D88="B0",O88-P88,O88-Q88),"")</f>
        <v/>
      </c>
      <c r="V88" s="7" t="n">
        <v>239.4115273952484</v>
      </c>
      <c r="W88" s="6" t="n">
        <v>0</v>
      </c>
      <c r="X88" s="7" t="n">
        <v>0</v>
      </c>
      <c r="Y88" s="6" t="n">
        <v>6</v>
      </c>
      <c r="Z88" s="6" t="n">
        <v>0</v>
      </c>
      <c r="AA88" s="6" t="n">
        <v>0</v>
      </c>
      <c r="AB88" s="6" t="n">
        <v>0</v>
      </c>
      <c r="AC88" s="10" t="n">
        <v>85417</v>
      </c>
      <c r="AD88" s="10" t="n">
        <v>13036</v>
      </c>
      <c r="AE88" s="10" t="n">
        <v>12820</v>
      </c>
      <c r="AF88" s="11" t="n">
        <v>0.33198375</v>
      </c>
      <c r="AG88" s="11" t="n">
        <v>0.0026252597869</v>
      </c>
      <c r="AH88" s="11" t="n">
        <v>0.000175</v>
      </c>
      <c r="AI88" s="12">
        <f>AF88+AG88+AH88</f>
        <v/>
      </c>
      <c r="AJ88" s="6" t="n">
        <v>0</v>
      </c>
      <c r="AK88" s="6" t="inlineStr"/>
    </row>
    <row r="89">
      <c r="A89" s="5" t="n">
        <v>1</v>
      </c>
      <c r="B89" s="5" t="n">
        <v>44</v>
      </c>
      <c r="C89" s="5" t="inlineStr">
        <is>
          <t>protein_8RXN_query_9_mask_2</t>
        </is>
      </c>
      <c r="D89" s="5" t="inlineStr">
        <is>
          <t>B0</t>
        </is>
      </c>
      <c r="E89" s="5" t="inlineStr">
        <is>
          <t>2nd</t>
        </is>
      </c>
      <c r="F89" s="5" t="inlineStr">
        <is>
          <t>med4</t>
        </is>
      </c>
      <c r="G89" s="5" t="inlineStr">
        <is>
          <t>medium</t>
        </is>
      </c>
      <c r="H89" s="6" t="n">
        <v>0</v>
      </c>
      <c r="I89" s="6" t="n">
        <v>0</v>
      </c>
      <c r="J89" s="6" t="n">
        <v>0</v>
      </c>
      <c r="K89" s="6" t="n">
        <v>6</v>
      </c>
      <c r="L89" s="6" t="n">
        <v>5</v>
      </c>
      <c r="M89" s="6" t="n">
        <v>2</v>
      </c>
      <c r="N89" s="6" t="inlineStr">
        <is>
          <t>SUCCEEDED</t>
        </is>
      </c>
      <c r="O89" s="7" t="n">
        <v>129.157</v>
      </c>
      <c r="P89" s="7" t="n">
        <v>127.4329736232758</v>
      </c>
      <c r="Q89" s="7" t="n">
        <v>122.1202664375305</v>
      </c>
      <c r="R89" s="7" t="n">
        <v>122.1202664375305</v>
      </c>
      <c r="S89" s="8">
        <f>IF(N89="SUCCEEDED",P89/Q89,"")</f>
        <v/>
      </c>
      <c r="T89" s="8">
        <f>IF(N89="SUCCEEDED",P89/R89,"")</f>
        <v/>
      </c>
      <c r="U89" s="9">
        <f>IF(N89="SUCCEEDED",IF(D89="B0",O89-P89,O89-Q89),"")</f>
        <v/>
      </c>
      <c r="V89" s="7" t="n">
        <v>0.4669017791748047</v>
      </c>
      <c r="W89" s="6" t="n">
        <v>0</v>
      </c>
      <c r="X89" s="7" t="n">
        <v>0</v>
      </c>
      <c r="Y89" s="6" t="n">
        <v>6</v>
      </c>
      <c r="Z89" s="6" t="n">
        <v>0</v>
      </c>
      <c r="AA89" s="6" t="n">
        <v>0</v>
      </c>
      <c r="AB89" s="6" t="n">
        <v>0</v>
      </c>
      <c r="AC89" s="10" t="n">
        <v>85375</v>
      </c>
      <c r="AD89" s="10" t="n">
        <v>12075</v>
      </c>
      <c r="AE89" s="10" t="n">
        <v>11880</v>
      </c>
      <c r="AF89" s="11" t="n">
        <v>0.31845625</v>
      </c>
      <c r="AG89" s="11" t="n">
        <v>0.0008575442817</v>
      </c>
      <c r="AH89" s="11" t="n">
        <v>0.00015</v>
      </c>
      <c r="AI89" s="12">
        <f>AF89+AG89+AH89</f>
        <v/>
      </c>
      <c r="AJ89" s="6" t="n">
        <v>0</v>
      </c>
      <c r="AK89" s="6" t="inlineStr"/>
    </row>
    <row r="90">
      <c r="A90" s="5" t="n">
        <v>1</v>
      </c>
      <c r="B90" s="5" t="n">
        <v>45</v>
      </c>
      <c r="C90" s="5" t="inlineStr">
        <is>
          <t>hard3_43</t>
        </is>
      </c>
      <c r="D90" s="5" t="inlineStr">
        <is>
          <t>B0</t>
        </is>
      </c>
      <c r="E90" s="5" t="inlineStr">
        <is>
          <t>1st</t>
        </is>
      </c>
      <c r="F90" s="5" t="inlineStr">
        <is>
          <t>hard3</t>
        </is>
      </c>
      <c r="G90" s="5" t="inlineStr">
        <is>
          <t>hard</t>
        </is>
      </c>
      <c r="H90" s="6" t="n">
        <v>0</v>
      </c>
      <c r="I90" s="6" t="n">
        <v>0</v>
      </c>
      <c r="J90" s="6" t="n">
        <v>0</v>
      </c>
      <c r="K90" s="6" t="n">
        <v>15</v>
      </c>
      <c r="L90" s="6" t="n">
        <v>9</v>
      </c>
      <c r="M90" s="6" t="n">
        <v>4</v>
      </c>
      <c r="N90" s="6" t="inlineStr">
        <is>
          <t>SUCCEEDED</t>
        </is>
      </c>
      <c r="O90" s="7" t="n">
        <v>236.236</v>
      </c>
      <c r="P90" s="7" t="n">
        <v>231.9922695159912</v>
      </c>
      <c r="Q90" s="7" t="n">
        <v>158.9778416156769</v>
      </c>
      <c r="R90" s="7" t="n">
        <v>171.551834821701</v>
      </c>
      <c r="S90" s="8">
        <f>IF(N90="SUCCEEDED",P90/Q90,"")</f>
        <v/>
      </c>
      <c r="T90" s="8">
        <f>IF(N90="SUCCEEDED",P90/R90,"")</f>
        <v/>
      </c>
      <c r="U90" s="9">
        <f>IF(N90="SUCCEEDED",IF(D90="B0",O90-P90,O90-Q90),"")</f>
        <v/>
      </c>
      <c r="V90" s="7" t="n">
        <v>1.063740968704224</v>
      </c>
      <c r="W90" s="6" t="n">
        <v>0</v>
      </c>
      <c r="X90" s="7" t="n">
        <v>0</v>
      </c>
      <c r="Y90" s="6" t="n">
        <v>15</v>
      </c>
      <c r="Z90" s="6" t="n">
        <v>0</v>
      </c>
      <c r="AA90" s="6" t="n">
        <v>0</v>
      </c>
      <c r="AB90" s="6" t="n">
        <v>0</v>
      </c>
      <c r="AC90" s="10" t="n">
        <v>8140</v>
      </c>
      <c r="AD90" s="10" t="n">
        <v>17536</v>
      </c>
      <c r="AE90" s="10" t="n">
        <v>17064</v>
      </c>
      <c r="AF90" s="11" t="n">
        <v>0.259749</v>
      </c>
      <c r="AG90" s="11" t="n">
        <v>0.0015665544844</v>
      </c>
      <c r="AH90" s="11" t="n">
        <v>0.000375</v>
      </c>
      <c r="AI90" s="12">
        <f>AF90+AG90+AH90</f>
        <v/>
      </c>
      <c r="AJ90" s="6" t="n">
        <v>0</v>
      </c>
      <c r="AK90" s="6" t="inlineStr"/>
    </row>
    <row r="91">
      <c r="A91" s="5" t="n">
        <v>1</v>
      </c>
      <c r="B91" s="5" t="n">
        <v>45</v>
      </c>
      <c r="C91" s="5" t="inlineStr">
        <is>
          <t>hard3_43</t>
        </is>
      </c>
      <c r="D91" s="5" t="inlineStr">
        <is>
          <t>A1</t>
        </is>
      </c>
      <c r="E91" s="5" t="inlineStr">
        <is>
          <t>2nd</t>
        </is>
      </c>
      <c r="F91" s="5" t="inlineStr">
        <is>
          <t>hard3</t>
        </is>
      </c>
      <c r="G91" s="5" t="inlineStr">
        <is>
          <t>hard</t>
        </is>
      </c>
      <c r="H91" s="6" t="n">
        <v>0</v>
      </c>
      <c r="I91" s="6" t="n">
        <v>0</v>
      </c>
      <c r="J91" s="6" t="n">
        <v>0</v>
      </c>
      <c r="K91" s="6" t="n">
        <v>15</v>
      </c>
      <c r="L91" s="6" t="n">
        <v>9</v>
      </c>
      <c r="M91" s="6" t="n">
        <v>4</v>
      </c>
      <c r="N91" s="6" t="inlineStr">
        <is>
          <t>SUCCEEDED</t>
        </is>
      </c>
      <c r="O91" s="7" t="n">
        <v>222.97</v>
      </c>
      <c r="P91" s="7" t="n">
        <v>294.2452507019043</v>
      </c>
      <c r="Q91" s="7" t="n">
        <v>221.0784687995911</v>
      </c>
      <c r="R91" s="7" t="n">
        <v>242.5012028217316</v>
      </c>
      <c r="S91" s="8">
        <f>IF(N91="SUCCEEDED",P91/Q91,"")</f>
        <v/>
      </c>
      <c r="T91" s="8">
        <f>IF(N91="SUCCEEDED",P91/R91,"")</f>
        <v/>
      </c>
      <c r="U91" s="9">
        <f>IF(N91="SUCCEEDED",IF(D91="B0",O91-P91,O91-Q91),"")</f>
        <v/>
      </c>
      <c r="V91" s="7" t="n">
        <v>925.398218870163</v>
      </c>
      <c r="W91" s="6" t="n">
        <v>0</v>
      </c>
      <c r="X91" s="7" t="n">
        <v>0</v>
      </c>
      <c r="Y91" s="6" t="n">
        <v>15</v>
      </c>
      <c r="Z91" s="6" t="n">
        <v>0</v>
      </c>
      <c r="AA91" s="6" t="n">
        <v>0</v>
      </c>
      <c r="AB91" s="6" t="n">
        <v>0</v>
      </c>
      <c r="AC91" s="10" t="n">
        <v>8326</v>
      </c>
      <c r="AD91" s="10" t="n">
        <v>22009</v>
      </c>
      <c r="AE91" s="10" t="n">
        <v>21379</v>
      </c>
      <c r="AF91" s="11" t="n">
        <v>0.3226965000000001</v>
      </c>
      <c r="AG91" s="11" t="n">
        <v>0.008145160710599999</v>
      </c>
      <c r="AH91" s="11" t="n">
        <v>0.0004</v>
      </c>
      <c r="AI91" s="12">
        <f>AF91+AG91+AH91</f>
        <v/>
      </c>
      <c r="AJ91" s="6" t="n">
        <v>0</v>
      </c>
      <c r="AK91" s="6" t="inlineStr"/>
    </row>
    <row r="92">
      <c r="A92" s="5" t="n">
        <v>1</v>
      </c>
      <c r="B92" s="5" t="n">
        <v>46</v>
      </c>
      <c r="C92" s="5" t="inlineStr">
        <is>
          <t>hard3_7</t>
        </is>
      </c>
      <c r="D92" s="5" t="inlineStr">
        <is>
          <t>A1</t>
        </is>
      </c>
      <c r="E92" s="5" t="inlineStr">
        <is>
          <t>1st</t>
        </is>
      </c>
      <c r="F92" s="5" t="inlineStr">
        <is>
          <t>hard3</t>
        </is>
      </c>
      <c r="G92" s="5" t="inlineStr">
        <is>
          <t>hard</t>
        </is>
      </c>
      <c r="H92" s="6" t="n">
        <v>0</v>
      </c>
      <c r="I92" s="6" t="n">
        <v>1</v>
      </c>
      <c r="J92" s="6" t="n">
        <v>0</v>
      </c>
      <c r="K92" s="6" t="n">
        <v>15</v>
      </c>
      <c r="L92" s="6" t="n">
        <v>9</v>
      </c>
      <c r="M92" s="6" t="n">
        <v>4</v>
      </c>
      <c r="N92" s="6" t="inlineStr">
        <is>
          <t>SUCCEEDED</t>
        </is>
      </c>
      <c r="O92" s="7" t="n">
        <v>232.129</v>
      </c>
      <c r="P92" s="7" t="n">
        <v>344.6385388374329</v>
      </c>
      <c r="Q92" s="7" t="n">
        <v>230.3399498462677</v>
      </c>
      <c r="R92" s="7" t="n">
        <v>265.2803134918213</v>
      </c>
      <c r="S92" s="8">
        <f>IF(N92="SUCCEEDED",P92/Q92,"")</f>
        <v/>
      </c>
      <c r="T92" s="8">
        <f>IF(N92="SUCCEEDED",P92/R92,"")</f>
        <v/>
      </c>
      <c r="U92" s="9">
        <f>IF(N92="SUCCEEDED",IF(D92="B0",O92-P92,O92-Q92),"")</f>
        <v/>
      </c>
      <c r="V92" s="7" t="n">
        <v>892.2124242782593</v>
      </c>
      <c r="W92" s="6" t="n">
        <v>0</v>
      </c>
      <c r="X92" s="7" t="n">
        <v>0</v>
      </c>
      <c r="Y92" s="6" t="n">
        <v>15</v>
      </c>
      <c r="Z92" s="6" t="n">
        <v>0</v>
      </c>
      <c r="AA92" s="6" t="n">
        <v>0</v>
      </c>
      <c r="AB92" s="6" t="n">
        <v>0</v>
      </c>
      <c r="AC92" s="10" t="n">
        <v>8205</v>
      </c>
      <c r="AD92" s="10" t="n">
        <v>23884</v>
      </c>
      <c r="AE92" s="10" t="n">
        <v>23287</v>
      </c>
      <c r="AF92" s="11" t="n">
        <v>0.34873475</v>
      </c>
      <c r="AG92" s="11" t="n">
        <v>0.0082592946146</v>
      </c>
      <c r="AH92" s="11" t="n">
        <v>0.0004</v>
      </c>
      <c r="AI92" s="12">
        <f>AF92+AG92+AH92</f>
        <v/>
      </c>
      <c r="AJ92" s="6" t="n">
        <v>0</v>
      </c>
      <c r="AK92" s="6" t="inlineStr"/>
    </row>
    <row r="93">
      <c r="A93" s="5" t="n">
        <v>1</v>
      </c>
      <c r="B93" s="5" t="n">
        <v>46</v>
      </c>
      <c r="C93" s="5" t="inlineStr">
        <is>
          <t>hard3_7</t>
        </is>
      </c>
      <c r="D93" s="5" t="inlineStr">
        <is>
          <t>B0</t>
        </is>
      </c>
      <c r="E93" s="5" t="inlineStr">
        <is>
          <t>2nd</t>
        </is>
      </c>
      <c r="F93" s="5" t="inlineStr">
        <is>
          <t>hard3</t>
        </is>
      </c>
      <c r="G93" s="5" t="inlineStr">
        <is>
          <t>hard</t>
        </is>
      </c>
      <c r="H93" s="6" t="n">
        <v>0</v>
      </c>
      <c r="I93" s="6" t="n">
        <v>1</v>
      </c>
      <c r="J93" s="6" t="n">
        <v>0</v>
      </c>
      <c r="K93" s="6" t="n">
        <v>15</v>
      </c>
      <c r="L93" s="6" t="n">
        <v>9</v>
      </c>
      <c r="M93" s="6" t="n">
        <v>4</v>
      </c>
      <c r="N93" s="6" t="inlineStr">
        <is>
          <t>SUCCEEDED</t>
        </is>
      </c>
      <c r="O93" s="7" t="n">
        <v>298.908</v>
      </c>
      <c r="P93" s="7" t="n">
        <v>293.7856268882751</v>
      </c>
      <c r="Q93" s="7" t="n">
        <v>188.562511920929</v>
      </c>
      <c r="R93" s="7" t="n">
        <v>211.6720221042633</v>
      </c>
      <c r="S93" s="8">
        <f>IF(N93="SUCCEEDED",P93/Q93,"")</f>
        <v/>
      </c>
      <c r="T93" s="8">
        <f>IF(N93="SUCCEEDED",P93/R93,"")</f>
        <v/>
      </c>
      <c r="U93" s="9">
        <f>IF(N93="SUCCEEDED",IF(D93="B0",O93-P93,O93-Q93),"")</f>
        <v/>
      </c>
      <c r="V93" s="7" t="n">
        <v>1.122757196426392</v>
      </c>
      <c r="W93" s="6" t="n">
        <v>1</v>
      </c>
      <c r="X93" s="7" t="n">
        <v>0.50517</v>
      </c>
      <c r="Y93" s="6" t="n">
        <v>15</v>
      </c>
      <c r="Z93" s="6" t="n">
        <v>0</v>
      </c>
      <c r="AA93" s="6" t="n">
        <v>0</v>
      </c>
      <c r="AB93" s="6" t="n">
        <v>0</v>
      </c>
      <c r="AC93" s="10" t="n">
        <v>8276</v>
      </c>
      <c r="AD93" s="10" t="n">
        <v>21446</v>
      </c>
      <c r="AE93" s="10" t="n">
        <v>20826</v>
      </c>
      <c r="AF93" s="11" t="n">
        <v>0.3147269999999999</v>
      </c>
      <c r="AG93" s="11" t="n">
        <v>0.0019827632321</v>
      </c>
      <c r="AH93" s="11" t="n">
        <v>0.000375</v>
      </c>
      <c r="AI93" s="12">
        <f>AF93+AG93+AH93</f>
        <v/>
      </c>
      <c r="AJ93" s="6" t="n">
        <v>0</v>
      </c>
      <c r="AK93" s="6" t="inlineStr"/>
    </row>
    <row r="94">
      <c r="A94" s="5" t="n">
        <v>1</v>
      </c>
      <c r="B94" s="5" t="n">
        <v>47</v>
      </c>
      <c r="C94" s="5" t="inlineStr">
        <is>
          <t>med2_17</t>
        </is>
      </c>
      <c r="D94" s="5" t="inlineStr">
        <is>
          <t>B0</t>
        </is>
      </c>
      <c r="E94" s="5" t="inlineStr">
        <is>
          <t>1st</t>
        </is>
      </c>
      <c r="F94" s="5" t="inlineStr">
        <is>
          <t>med2</t>
        </is>
      </c>
      <c r="G94" s="5" t="inlineStr">
        <is>
          <t>medium</t>
        </is>
      </c>
      <c r="H94" s="6" t="n">
        <v>0</v>
      </c>
      <c r="I94" s="6" t="n">
        <v>0</v>
      </c>
      <c r="J94" s="6" t="n">
        <v>0</v>
      </c>
      <c r="K94" s="6" t="n">
        <v>9</v>
      </c>
      <c r="L94" s="6" t="n">
        <v>4</v>
      </c>
      <c r="M94" s="6" t="n">
        <v>5</v>
      </c>
      <c r="N94" s="6" t="inlineStr">
        <is>
          <t>SUCCEEDED</t>
        </is>
      </c>
      <c r="O94" s="7" t="n">
        <v>216.635</v>
      </c>
      <c r="P94" s="7" t="n">
        <v>214.1045925617218</v>
      </c>
      <c r="Q94" s="7" t="n">
        <v>156.4708499908447</v>
      </c>
      <c r="R94" s="7" t="n">
        <v>176.0152747631073</v>
      </c>
      <c r="S94" s="8">
        <f>IF(N94="SUCCEEDED",P94/Q94,"")</f>
        <v/>
      </c>
      <c r="T94" s="8">
        <f>IF(N94="SUCCEEDED",P94/R94,"")</f>
        <v/>
      </c>
      <c r="U94" s="9">
        <f>IF(N94="SUCCEEDED",IF(D94="B0",O94-P94,O94-Q94),"")</f>
        <v/>
      </c>
      <c r="V94" s="7" t="n">
        <v>0.4738461971282959</v>
      </c>
      <c r="W94" s="6" t="n">
        <v>0</v>
      </c>
      <c r="X94" s="7" t="n">
        <v>0</v>
      </c>
      <c r="Y94" s="6" t="n">
        <v>9</v>
      </c>
      <c r="Z94" s="6" t="n">
        <v>0</v>
      </c>
      <c r="AA94" s="6" t="n">
        <v>0</v>
      </c>
      <c r="AB94" s="6" t="n">
        <v>0</v>
      </c>
      <c r="AC94" s="10" t="n">
        <v>3943</v>
      </c>
      <c r="AD94" s="10" t="n">
        <v>14238</v>
      </c>
      <c r="AE94" s="10" t="n">
        <v>13846</v>
      </c>
      <c r="AF94" s="11" t="n">
        <v>0.20623225</v>
      </c>
      <c r="AG94" s="11" t="n">
        <v>0.0014389738525</v>
      </c>
      <c r="AH94" s="11" t="n">
        <v>0.000225</v>
      </c>
      <c r="AI94" s="12">
        <f>AF94+AG94+AH94</f>
        <v/>
      </c>
      <c r="AJ94" s="6" t="n">
        <v>0</v>
      </c>
      <c r="AK94" s="6" t="inlineStr"/>
    </row>
    <row r="95">
      <c r="A95" s="5" t="n">
        <v>1</v>
      </c>
      <c r="B95" s="5" t="n">
        <v>47</v>
      </c>
      <c r="C95" s="5" t="inlineStr">
        <is>
          <t>med2_17</t>
        </is>
      </c>
      <c r="D95" s="5" t="inlineStr">
        <is>
          <t>A1</t>
        </is>
      </c>
      <c r="E95" s="5" t="inlineStr">
        <is>
          <t>2nd</t>
        </is>
      </c>
      <c r="F95" s="5" t="inlineStr">
        <is>
          <t>med2</t>
        </is>
      </c>
      <c r="G95" s="5" t="inlineStr">
        <is>
          <t>medium</t>
        </is>
      </c>
      <c r="H95" s="6" t="n">
        <v>0</v>
      </c>
      <c r="I95" s="6" t="n">
        <v>0</v>
      </c>
      <c r="J95" s="6" t="n">
        <v>0</v>
      </c>
      <c r="K95" s="6" t="n">
        <v>9</v>
      </c>
      <c r="L95" s="6" t="n">
        <v>4</v>
      </c>
      <c r="M95" s="6" t="n">
        <v>5</v>
      </c>
      <c r="N95" s="6" t="inlineStr">
        <is>
          <t>SUCCEEDED</t>
        </is>
      </c>
      <c r="O95" s="7" t="n">
        <v>126.8</v>
      </c>
      <c r="P95" s="7" t="n">
        <v>172.281019449234</v>
      </c>
      <c r="Q95" s="7" t="n">
        <v>125.7637968063354</v>
      </c>
      <c r="R95" s="7" t="n">
        <v>131.880538225174</v>
      </c>
      <c r="S95" s="8">
        <f>IF(N95="SUCCEEDED",P95/Q95,"")</f>
        <v/>
      </c>
      <c r="T95" s="8">
        <f>IF(N95="SUCCEEDED",P95/R95,"")</f>
        <v/>
      </c>
      <c r="U95" s="9">
        <f>IF(N95="SUCCEEDED",IF(D95="B0",O95-P95,O95-Q95),"")</f>
        <v/>
      </c>
      <c r="V95" s="7" t="n">
        <v>164.8684341907501</v>
      </c>
      <c r="W95" s="6" t="n">
        <v>0</v>
      </c>
      <c r="X95" s="7" t="n">
        <v>0</v>
      </c>
      <c r="Y95" s="6" t="n">
        <v>9</v>
      </c>
      <c r="Z95" s="6" t="n">
        <v>0</v>
      </c>
      <c r="AA95" s="6" t="n">
        <v>0</v>
      </c>
      <c r="AB95" s="6" t="n">
        <v>0</v>
      </c>
      <c r="AC95" s="10" t="n">
        <v>3964</v>
      </c>
      <c r="AD95" s="10" t="n">
        <v>11143</v>
      </c>
      <c r="AE95" s="10" t="n">
        <v>10757</v>
      </c>
      <c r="AF95" s="11" t="n">
        <v>0.162939</v>
      </c>
      <c r="AG95" s="11" t="n">
        <v>0.0022557646031</v>
      </c>
      <c r="AH95" s="11" t="n">
        <v>0.00025</v>
      </c>
      <c r="AI95" s="12">
        <f>AF95+AG95+AH95</f>
        <v/>
      </c>
      <c r="AJ95" s="6" t="n">
        <v>0</v>
      </c>
      <c r="AK95" s="6" t="inlineStr"/>
    </row>
    <row r="96">
      <c r="A96" s="5" t="n">
        <v>1</v>
      </c>
      <c r="B96" s="5" t="n">
        <v>48</v>
      </c>
      <c r="C96" s="5" t="inlineStr">
        <is>
          <t>med1_20</t>
        </is>
      </c>
      <c r="D96" s="5" t="inlineStr">
        <is>
          <t>A1</t>
        </is>
      </c>
      <c r="E96" s="5" t="inlineStr">
        <is>
          <t>1st</t>
        </is>
      </c>
      <c r="F96" s="5" t="inlineStr">
        <is>
          <t>med1</t>
        </is>
      </c>
      <c r="G96" s="5" t="inlineStr">
        <is>
          <t>medium</t>
        </is>
      </c>
      <c r="H96" s="6" t="n">
        <v>0</v>
      </c>
      <c r="I96" s="6" t="n">
        <v>0</v>
      </c>
      <c r="J96" s="6" t="n">
        <v>0</v>
      </c>
      <c r="K96" s="6" t="n">
        <v>9</v>
      </c>
      <c r="L96" s="6" t="n">
        <v>4</v>
      </c>
      <c r="M96" s="6" t="n">
        <v>5</v>
      </c>
      <c r="N96" s="6" t="inlineStr">
        <is>
          <t>SUCCEEDED</t>
        </is>
      </c>
      <c r="O96" s="7" t="n">
        <v>96.48999999999999</v>
      </c>
      <c r="P96" s="7" t="n">
        <v>150.0316162109375</v>
      </c>
      <c r="Q96" s="7" t="n">
        <v>95.48088073730469</v>
      </c>
      <c r="R96" s="7" t="n">
        <v>104.8343081474304</v>
      </c>
      <c r="S96" s="8">
        <f>IF(N96="SUCCEEDED",P96/Q96,"")</f>
        <v/>
      </c>
      <c r="T96" s="8">
        <f>IF(N96="SUCCEEDED",P96/R96,"")</f>
        <v/>
      </c>
      <c r="U96" s="9">
        <f>IF(N96="SUCCEEDED",IF(D96="B0",O96-P96,O96-Q96),"")</f>
        <v/>
      </c>
      <c r="V96" s="7" t="n">
        <v>99.69124960899353</v>
      </c>
      <c r="W96" s="6" t="n">
        <v>0</v>
      </c>
      <c r="X96" s="7" t="n">
        <v>0</v>
      </c>
      <c r="Y96" s="6" t="n">
        <v>9</v>
      </c>
      <c r="Z96" s="6" t="n">
        <v>0</v>
      </c>
      <c r="AA96" s="6" t="n">
        <v>0</v>
      </c>
      <c r="AB96" s="6" t="n">
        <v>0</v>
      </c>
      <c r="AC96" s="10" t="n">
        <v>3930</v>
      </c>
      <c r="AD96" s="10" t="n">
        <v>10720</v>
      </c>
      <c r="AE96" s="10" t="n">
        <v>10434</v>
      </c>
      <c r="AF96" s="11" t="n">
        <v>0.1569575</v>
      </c>
      <c r="AG96" s="11" t="n">
        <v>0.0016734150247</v>
      </c>
      <c r="AH96" s="11" t="n">
        <v>0.00025</v>
      </c>
      <c r="AI96" s="12">
        <f>AF96+AG96+AH96</f>
        <v/>
      </c>
      <c r="AJ96" s="6" t="n">
        <v>1</v>
      </c>
      <c r="AK96" s="6" t="inlineStr"/>
    </row>
    <row r="97">
      <c r="A97" s="5" t="n">
        <v>1</v>
      </c>
      <c r="B97" s="5" t="n">
        <v>48</v>
      </c>
      <c r="C97" s="5" t="inlineStr">
        <is>
          <t>med1_20</t>
        </is>
      </c>
      <c r="D97" s="5" t="inlineStr">
        <is>
          <t>B0</t>
        </is>
      </c>
      <c r="E97" s="5" t="inlineStr">
        <is>
          <t>2nd</t>
        </is>
      </c>
      <c r="F97" s="5" t="inlineStr">
        <is>
          <t>med1</t>
        </is>
      </c>
      <c r="G97" s="5" t="inlineStr">
        <is>
          <t>medium</t>
        </is>
      </c>
      <c r="H97" s="6" t="n">
        <v>0</v>
      </c>
      <c r="I97" s="6" t="n">
        <v>0</v>
      </c>
      <c r="J97" s="6" t="n">
        <v>0</v>
      </c>
      <c r="K97" s="6" t="n">
        <v>9</v>
      </c>
      <c r="L97" s="6" t="n">
        <v>4</v>
      </c>
      <c r="M97" s="6" t="n">
        <v>5</v>
      </c>
      <c r="N97" s="6" t="inlineStr">
        <is>
          <t>SUCCEEDED</t>
        </is>
      </c>
      <c r="O97" s="7" t="n">
        <v>125.381</v>
      </c>
      <c r="P97" s="7" t="n">
        <v>123.0027070045471</v>
      </c>
      <c r="Q97" s="7" t="n">
        <v>74.42836952209473</v>
      </c>
      <c r="R97" s="7" t="n">
        <v>90.39873623847961</v>
      </c>
      <c r="S97" s="8">
        <f>IF(N97="SUCCEEDED",P97/Q97,"")</f>
        <v/>
      </c>
      <c r="T97" s="8">
        <f>IF(N97="SUCCEEDED",P97/R97,"")</f>
        <v/>
      </c>
      <c r="U97" s="9">
        <f>IF(N97="SUCCEEDED",IF(D97="B0",O97-P97,O97-Q97),"")</f>
        <v/>
      </c>
      <c r="V97" s="7" t="n">
        <v>0.4377801418304443</v>
      </c>
      <c r="W97" s="6" t="n">
        <v>0</v>
      </c>
      <c r="X97" s="7" t="n">
        <v>0</v>
      </c>
      <c r="Y97" s="6" t="n">
        <v>9</v>
      </c>
      <c r="Z97" s="6" t="n">
        <v>0</v>
      </c>
      <c r="AA97" s="6" t="n">
        <v>0</v>
      </c>
      <c r="AB97" s="6" t="n">
        <v>0</v>
      </c>
      <c r="AC97" s="10" t="n">
        <v>3922</v>
      </c>
      <c r="AD97" s="10" t="n">
        <v>9199</v>
      </c>
      <c r="AE97" s="10" t="n">
        <v>8912</v>
      </c>
      <c r="AF97" s="11" t="n">
        <v>0.1356495</v>
      </c>
      <c r="AG97" s="11" t="n">
        <v>0.0008310974798</v>
      </c>
      <c r="AH97" s="11" t="n">
        <v>0.000225</v>
      </c>
      <c r="AI97" s="12">
        <f>AF97+AG97+AH97</f>
        <v/>
      </c>
      <c r="AJ97" s="6" t="n">
        <v>1</v>
      </c>
      <c r="AK97" s="6" t="inlineStr"/>
    </row>
    <row r="98">
      <c r="A98" s="5" t="n">
        <v>1</v>
      </c>
      <c r="B98" s="5" t="n">
        <v>49</v>
      </c>
      <c r="C98" s="5" t="inlineStr">
        <is>
          <t>hard2_15</t>
        </is>
      </c>
      <c r="D98" s="5" t="inlineStr">
        <is>
          <t>B0</t>
        </is>
      </c>
      <c r="E98" s="5" t="inlineStr">
        <is>
          <t>1st</t>
        </is>
      </c>
      <c r="F98" s="5" t="inlineStr">
        <is>
          <t>hard2</t>
        </is>
      </c>
      <c r="G98" s="5" t="inlineStr">
        <is>
          <t>hard</t>
        </is>
      </c>
      <c r="H98" s="6" t="n">
        <v>0</v>
      </c>
      <c r="I98" s="6" t="n">
        <v>0</v>
      </c>
      <c r="J98" s="6" t="n">
        <v>0</v>
      </c>
      <c r="K98" s="6" t="n">
        <v>16</v>
      </c>
      <c r="L98" s="6" t="n">
        <v>10</v>
      </c>
      <c r="M98" s="6" t="n">
        <v>5</v>
      </c>
      <c r="N98" s="6" t="inlineStr">
        <is>
          <t>SUCCEEDED</t>
        </is>
      </c>
      <c r="O98" s="7" t="n">
        <v>196.489</v>
      </c>
      <c r="P98" s="7" t="n">
        <v>191.7640690803528</v>
      </c>
      <c r="Q98" s="7" t="n">
        <v>149.8535096645355</v>
      </c>
      <c r="R98" s="7" t="n">
        <v>162.9088070392609</v>
      </c>
      <c r="S98" s="8">
        <f>IF(N98="SUCCEEDED",P98/Q98,"")</f>
        <v/>
      </c>
      <c r="T98" s="8">
        <f>IF(N98="SUCCEEDED",P98/R98,"")</f>
        <v/>
      </c>
      <c r="U98" s="9">
        <f>IF(N98="SUCCEEDED",IF(D98="B0",O98-P98,O98-Q98),"")</f>
        <v/>
      </c>
      <c r="V98" s="7" t="n">
        <v>1.061739921569824</v>
      </c>
      <c r="W98" s="6" t="n">
        <v>0</v>
      </c>
      <c r="X98" s="7" t="n">
        <v>0</v>
      </c>
      <c r="Y98" s="6" t="n">
        <v>16</v>
      </c>
      <c r="Z98" s="6" t="n">
        <v>0</v>
      </c>
      <c r="AA98" s="6" t="n">
        <v>0</v>
      </c>
      <c r="AB98" s="6" t="n">
        <v>0</v>
      </c>
      <c r="AC98" s="10" t="n">
        <v>8203</v>
      </c>
      <c r="AD98" s="10" t="n">
        <v>14420</v>
      </c>
      <c r="AE98" s="10" t="n">
        <v>13913</v>
      </c>
      <c r="AF98" s="11" t="n">
        <v>0.21623525</v>
      </c>
      <c r="AG98" s="11" t="n">
        <v>0.0013002998188</v>
      </c>
      <c r="AH98" s="11" t="n">
        <v>0.0004</v>
      </c>
      <c r="AI98" s="12">
        <f>AF98+AG98+AH98</f>
        <v/>
      </c>
      <c r="AJ98" s="6" t="n">
        <v>0</v>
      </c>
      <c r="AK98" s="6" t="inlineStr"/>
    </row>
    <row r="99">
      <c r="A99" s="5" t="n">
        <v>1</v>
      </c>
      <c r="B99" s="5" t="n">
        <v>49</v>
      </c>
      <c r="C99" s="5" t="inlineStr">
        <is>
          <t>hard2_15</t>
        </is>
      </c>
      <c r="D99" s="5" t="inlineStr">
        <is>
          <t>A1</t>
        </is>
      </c>
      <c r="E99" s="5" t="inlineStr">
        <is>
          <t>2nd</t>
        </is>
      </c>
      <c r="F99" s="5" t="inlineStr">
        <is>
          <t>hard2</t>
        </is>
      </c>
      <c r="G99" s="5" t="inlineStr">
        <is>
          <t>hard</t>
        </is>
      </c>
      <c r="H99" s="6" t="n">
        <v>0</v>
      </c>
      <c r="I99" s="6" t="n">
        <v>0</v>
      </c>
      <c r="J99" s="6" t="n">
        <v>0</v>
      </c>
      <c r="K99" s="6" t="n">
        <v>16</v>
      </c>
      <c r="L99" s="6" t="n">
        <v>10</v>
      </c>
      <c r="M99" s="6" t="n">
        <v>5</v>
      </c>
      <c r="N99" s="6" t="inlineStr">
        <is>
          <t>SUCCEEDED</t>
        </is>
      </c>
      <c r="O99" s="7" t="n">
        <v>161.742</v>
      </c>
      <c r="P99" s="7" t="n">
        <v>217.7531626224518</v>
      </c>
      <c r="Q99" s="7" t="n">
        <v>159.4198174476624</v>
      </c>
      <c r="R99" s="7" t="n">
        <v>177.0838010311127</v>
      </c>
      <c r="S99" s="8">
        <f>IF(N99="SUCCEEDED",P99/Q99,"")</f>
        <v/>
      </c>
      <c r="T99" s="8">
        <f>IF(N99="SUCCEEDED",P99/R99,"")</f>
        <v/>
      </c>
      <c r="U99" s="9">
        <f>IF(N99="SUCCEEDED",IF(D99="B0",O99-P99,O99-Q99),"")</f>
        <v/>
      </c>
      <c r="V99" s="7" t="n">
        <v>555.9417729377747</v>
      </c>
      <c r="W99" s="6" t="n">
        <v>0</v>
      </c>
      <c r="X99" s="7" t="n">
        <v>0</v>
      </c>
      <c r="Y99" s="6" t="n">
        <v>16</v>
      </c>
      <c r="Z99" s="6" t="n">
        <v>0</v>
      </c>
      <c r="AA99" s="6" t="n">
        <v>0</v>
      </c>
      <c r="AB99" s="6" t="n">
        <v>0</v>
      </c>
      <c r="AC99" s="10" t="n">
        <v>8348</v>
      </c>
      <c r="AD99" s="10" t="n">
        <v>13485</v>
      </c>
      <c r="AE99" s="10" t="n">
        <v>12826</v>
      </c>
      <c r="AF99" s="11" t="n">
        <v>0.203399</v>
      </c>
      <c r="AG99" s="11" t="n">
        <v>0.0051724325127</v>
      </c>
      <c r="AH99" s="11" t="n">
        <v>0.000425</v>
      </c>
      <c r="AI99" s="12">
        <f>AF99+AG99+AH99</f>
        <v/>
      </c>
      <c r="AJ99" s="6" t="n">
        <v>0</v>
      </c>
      <c r="AK99" s="6" t="inlineStr"/>
    </row>
    <row r="100">
      <c r="A100" s="5" t="n">
        <v>1</v>
      </c>
      <c r="B100" s="5" t="n">
        <v>50</v>
      </c>
      <c r="C100" s="5" t="inlineStr">
        <is>
          <t>hard1_40</t>
        </is>
      </c>
      <c r="D100" s="5" t="inlineStr">
        <is>
          <t>A1</t>
        </is>
      </c>
      <c r="E100" s="5" t="inlineStr">
        <is>
          <t>1st</t>
        </is>
      </c>
      <c r="F100" s="5" t="inlineStr">
        <is>
          <t>hard1</t>
        </is>
      </c>
      <c r="G100" s="5" t="inlineStr">
        <is>
          <t>hard</t>
        </is>
      </c>
      <c r="H100" s="6" t="n">
        <v>0</v>
      </c>
      <c r="I100" s="6" t="n">
        <v>1</v>
      </c>
      <c r="J100" s="6" t="n">
        <v>0</v>
      </c>
      <c r="K100" s="6" t="n">
        <v>16</v>
      </c>
      <c r="L100" s="6" t="n">
        <v>9</v>
      </c>
      <c r="M100" s="6" t="n">
        <v>5</v>
      </c>
      <c r="N100" s="6" t="inlineStr">
        <is>
          <t>SUCCEEDED</t>
        </is>
      </c>
      <c r="O100" s="7" t="n">
        <v>171.852</v>
      </c>
      <c r="P100" s="7" t="n">
        <v>232.5395965576172</v>
      </c>
      <c r="Q100" s="7" t="n">
        <v>170.1094570159912</v>
      </c>
      <c r="R100" s="7" t="n">
        <v>183.4720675945282</v>
      </c>
      <c r="S100" s="8">
        <f>IF(N100="SUCCEEDED",P100/Q100,"")</f>
        <v/>
      </c>
      <c r="T100" s="8">
        <f>IF(N100="SUCCEEDED",P100/R100,"")</f>
        <v/>
      </c>
      <c r="U100" s="9">
        <f>IF(N100="SUCCEEDED",IF(D100="B0",O100-P100,O100-Q100),"")</f>
        <v/>
      </c>
      <c r="V100" s="7" t="n">
        <v>529.7065825462341</v>
      </c>
      <c r="W100" s="6" t="n">
        <v>0</v>
      </c>
      <c r="X100" s="7" t="n">
        <v>0</v>
      </c>
      <c r="Y100" s="6" t="n">
        <v>16</v>
      </c>
      <c r="Z100" s="6" t="n">
        <v>0</v>
      </c>
      <c r="AA100" s="6" t="n">
        <v>0</v>
      </c>
      <c r="AB100" s="6" t="n">
        <v>0</v>
      </c>
      <c r="AC100" s="10" t="n">
        <v>9854</v>
      </c>
      <c r="AD100" s="10" t="n">
        <v>17331</v>
      </c>
      <c r="AE100" s="10" t="n">
        <v>16701</v>
      </c>
      <c r="AF100" s="11" t="n">
        <v>0.2598785</v>
      </c>
      <c r="AG100" s="11" t="n">
        <v>0.0050959054634</v>
      </c>
      <c r="AH100" s="11" t="n">
        <v>0.000425</v>
      </c>
      <c r="AI100" s="12">
        <f>AF100+AG100+AH100</f>
        <v/>
      </c>
      <c r="AJ100" s="6" t="n">
        <v>0</v>
      </c>
      <c r="AK100" s="6" t="inlineStr"/>
    </row>
    <row r="101">
      <c r="A101" s="5" t="n">
        <v>1</v>
      </c>
      <c r="B101" s="5" t="n">
        <v>50</v>
      </c>
      <c r="C101" s="5" t="inlineStr">
        <is>
          <t>hard1_40</t>
        </is>
      </c>
      <c r="D101" s="5" t="inlineStr">
        <is>
          <t>B0</t>
        </is>
      </c>
      <c r="E101" s="5" t="inlineStr">
        <is>
          <t>2nd</t>
        </is>
      </c>
      <c r="F101" s="5" t="inlineStr">
        <is>
          <t>hard1</t>
        </is>
      </c>
      <c r="G101" s="5" t="inlineStr">
        <is>
          <t>hard</t>
        </is>
      </c>
      <c r="H101" s="6" t="n">
        <v>0</v>
      </c>
      <c r="I101" s="6" t="n">
        <v>1</v>
      </c>
      <c r="J101" s="6" t="n">
        <v>0</v>
      </c>
      <c r="K101" s="6" t="n">
        <v>16</v>
      </c>
      <c r="L101" s="6" t="n">
        <v>9</v>
      </c>
      <c r="M101" s="6" t="n">
        <v>5</v>
      </c>
      <c r="N101" s="6" t="inlineStr">
        <is>
          <t>SUCCEEDED</t>
        </is>
      </c>
      <c r="O101" s="7" t="n">
        <v>333.431</v>
      </c>
      <c r="P101" s="7" t="n">
        <v>328.9529986381531</v>
      </c>
      <c r="Q101" s="7" t="n">
        <v>248.6339087486267</v>
      </c>
      <c r="R101" s="7" t="n">
        <v>268.3004350662231</v>
      </c>
      <c r="S101" s="8">
        <f>IF(N101="SUCCEEDED",P101/Q101,"")</f>
        <v/>
      </c>
      <c r="T101" s="8">
        <f>IF(N101="SUCCEEDED",P101/R101,"")</f>
        <v/>
      </c>
      <c r="U101" s="9">
        <f>IF(N101="SUCCEEDED",IF(D101="B0",O101-P101,O101-Q101),"")</f>
        <v/>
      </c>
      <c r="V101" s="7" t="n">
        <v>1.022877931594849</v>
      </c>
      <c r="W101" s="6" t="n">
        <v>0</v>
      </c>
      <c r="X101" s="7" t="n">
        <v>0</v>
      </c>
      <c r="Y101" s="6" t="n">
        <v>16</v>
      </c>
      <c r="Z101" s="6" t="n">
        <v>0</v>
      </c>
      <c r="AA101" s="6" t="n">
        <v>0</v>
      </c>
      <c r="AB101" s="6" t="n">
        <v>0</v>
      </c>
      <c r="AC101" s="10" t="n">
        <v>10055</v>
      </c>
      <c r="AD101" s="10" t="n">
        <v>25113</v>
      </c>
      <c r="AE101" s="10" t="n">
        <v>24386</v>
      </c>
      <c r="AF101" s="11" t="n">
        <v>0.36917825</v>
      </c>
      <c r="AG101" s="11" t="n">
        <v>0.0022142710553</v>
      </c>
      <c r="AH101" s="11" t="n">
        <v>0.0004</v>
      </c>
      <c r="AI101" s="12">
        <f>AF101+AG101+AH101</f>
        <v/>
      </c>
      <c r="AJ101" s="6" t="n">
        <v>0</v>
      </c>
      <c r="AK101" s="6" t="inlineStr"/>
    </row>
    <row r="102">
      <c r="A102" s="5" t="n">
        <v>2</v>
      </c>
      <c r="B102" s="5" t="n">
        <v>1</v>
      </c>
      <c r="C102" s="5" t="inlineStr">
        <is>
          <t>hard3_20</t>
        </is>
      </c>
      <c r="D102" s="5" t="inlineStr">
        <is>
          <t>B0</t>
        </is>
      </c>
      <c r="E102" s="5" t="inlineStr">
        <is>
          <t>1st</t>
        </is>
      </c>
      <c r="F102" s="5" t="inlineStr">
        <is>
          <t>hard3</t>
        </is>
      </c>
      <c r="G102" s="5" t="inlineStr">
        <is>
          <t>hard</t>
        </is>
      </c>
      <c r="H102" s="6" t="n">
        <v>0</v>
      </c>
      <c r="I102" s="6" t="n">
        <v>1</v>
      </c>
      <c r="J102" s="6" t="n">
        <v>0</v>
      </c>
      <c r="K102" s="6" t="n">
        <v>15</v>
      </c>
      <c r="L102" s="6" t="n">
        <v>9</v>
      </c>
      <c r="M102" s="6" t="n">
        <v>4</v>
      </c>
      <c r="N102" s="6" t="inlineStr">
        <is>
          <t>SUCCEEDED</t>
        </is>
      </c>
      <c r="O102" s="7" t="n">
        <v>276.871</v>
      </c>
      <c r="P102" s="7" t="n">
        <v>272.3449532985687</v>
      </c>
      <c r="Q102" s="7" t="n">
        <v>173.3835787773132</v>
      </c>
      <c r="R102" s="7" t="n">
        <v>204.5943238735199</v>
      </c>
      <c r="S102" s="8">
        <f>IF(N102="SUCCEEDED",P102/Q102,"")</f>
        <v/>
      </c>
      <c r="T102" s="8">
        <f>IF(N102="SUCCEEDED",P102/R102,"")</f>
        <v/>
      </c>
      <c r="U102" s="9">
        <f>IF(N102="SUCCEEDED",IF(D102="B0",O102-P102,O102-Q102),"")</f>
        <v/>
      </c>
      <c r="V102" s="7" t="n">
        <v>1.093344211578369</v>
      </c>
      <c r="W102" s="6" t="n">
        <v>0</v>
      </c>
      <c r="X102" s="7" t="n">
        <v>0</v>
      </c>
      <c r="Y102" s="6" t="n">
        <v>15</v>
      </c>
      <c r="Z102" s="6" t="n">
        <v>0</v>
      </c>
      <c r="AA102" s="6" t="n">
        <v>0</v>
      </c>
      <c r="AB102" s="6" t="n">
        <v>0</v>
      </c>
      <c r="AC102" s="10" t="n">
        <v>8023</v>
      </c>
      <c r="AD102" s="10" t="n">
        <v>18887</v>
      </c>
      <c r="AE102" s="10" t="n">
        <v>18439</v>
      </c>
      <c r="AF102" s="11" t="n">
        <v>0.27845825</v>
      </c>
      <c r="AG102" s="11" t="n">
        <v>0.0018368491692</v>
      </c>
      <c r="AH102" s="11" t="n">
        <v>0.000375</v>
      </c>
      <c r="AI102" s="12">
        <f>AF102+AG102+AH102</f>
        <v/>
      </c>
      <c r="AJ102" s="6" t="n">
        <v>0</v>
      </c>
      <c r="AK102" s="6" t="inlineStr"/>
    </row>
    <row r="103">
      <c r="A103" s="5" t="n">
        <v>2</v>
      </c>
      <c r="B103" s="5" t="n">
        <v>1</v>
      </c>
      <c r="C103" s="5" t="inlineStr">
        <is>
          <t>hard3_20</t>
        </is>
      </c>
      <c r="D103" s="5" t="inlineStr">
        <is>
          <t>A1</t>
        </is>
      </c>
      <c r="E103" s="5" t="inlineStr">
        <is>
          <t>2nd</t>
        </is>
      </c>
      <c r="F103" s="5" t="inlineStr">
        <is>
          <t>hard3</t>
        </is>
      </c>
      <c r="G103" s="5" t="inlineStr">
        <is>
          <t>hard</t>
        </is>
      </c>
      <c r="H103" s="6" t="n">
        <v>0</v>
      </c>
      <c r="I103" s="6" t="n">
        <v>1</v>
      </c>
      <c r="J103" s="6" t="n">
        <v>0</v>
      </c>
      <c r="K103" s="6" t="n">
        <v>15</v>
      </c>
      <c r="L103" s="6" t="n">
        <v>9</v>
      </c>
      <c r="M103" s="6" t="n">
        <v>4</v>
      </c>
      <c r="N103" s="6" t="inlineStr">
        <is>
          <t>SUCCEEDED</t>
        </is>
      </c>
      <c r="O103" s="7" t="n">
        <v>287.375</v>
      </c>
      <c r="P103" s="7" t="n">
        <v>414.8847808837891</v>
      </c>
      <c r="Q103" s="7" t="n">
        <v>285.3935329914093</v>
      </c>
      <c r="R103" s="7" t="n">
        <v>335.2959852218628</v>
      </c>
      <c r="S103" s="8">
        <f>IF(N103="SUCCEEDED",P103/Q103,"")</f>
        <v/>
      </c>
      <c r="T103" s="8">
        <f>IF(N103="SUCCEEDED",P103/R103,"")</f>
        <v/>
      </c>
      <c r="U103" s="9">
        <f>IF(N103="SUCCEEDED",IF(D103="B0",O103-P103,O103-Q103),"")</f>
        <v/>
      </c>
      <c r="V103" s="7" t="n">
        <v>1238.962103366852</v>
      </c>
      <c r="W103" s="6" t="n">
        <v>0</v>
      </c>
      <c r="X103" s="7" t="n">
        <v>0</v>
      </c>
      <c r="Y103" s="6" t="n">
        <v>15</v>
      </c>
      <c r="Z103" s="6" t="n">
        <v>0</v>
      </c>
      <c r="AA103" s="6" t="n">
        <v>0</v>
      </c>
      <c r="AB103" s="6" t="n">
        <v>0</v>
      </c>
      <c r="AC103" s="10" t="n">
        <v>8066</v>
      </c>
      <c r="AD103" s="10" t="n">
        <v>28433</v>
      </c>
      <c r="AE103" s="10" t="n">
        <v>27909</v>
      </c>
      <c r="AF103" s="11" t="n">
        <v>0.4121775</v>
      </c>
      <c r="AG103" s="11" t="n">
        <v>0.0110396285162</v>
      </c>
      <c r="AH103" s="11" t="n">
        <v>0.0004</v>
      </c>
      <c r="AI103" s="12">
        <f>AF103+AG103+AH103</f>
        <v/>
      </c>
      <c r="AJ103" s="6" t="n">
        <v>0</v>
      </c>
      <c r="AK103" s="6" t="inlineStr"/>
    </row>
    <row r="104">
      <c r="A104" s="5" t="n">
        <v>2</v>
      </c>
      <c r="B104" s="5" t="n">
        <v>2</v>
      </c>
      <c r="C104" s="5" t="inlineStr">
        <is>
          <t>easy1_32</t>
        </is>
      </c>
      <c r="D104" s="5" t="inlineStr">
        <is>
          <t>A1</t>
        </is>
      </c>
      <c r="E104" s="5" t="inlineStr">
        <is>
          <t>1st</t>
        </is>
      </c>
      <c r="F104" s="5" t="inlineStr">
        <is>
          <t>easy1</t>
        </is>
      </c>
      <c r="G104" s="5" t="inlineStr">
        <is>
          <t>easy</t>
        </is>
      </c>
      <c r="H104" s="6" t="n">
        <v>1</v>
      </c>
      <c r="I104" s="6" t="n">
        <v>0</v>
      </c>
      <c r="J104" s="6" t="n">
        <v>0</v>
      </c>
      <c r="K104" s="6" t="n">
        <v>5</v>
      </c>
      <c r="L104" s="6" t="n">
        <v>4</v>
      </c>
      <c r="M104" s="6" t="n">
        <v>2</v>
      </c>
      <c r="N104" s="6" t="inlineStr">
        <is>
          <t>SUCCEEDED</t>
        </is>
      </c>
      <c r="O104" s="7" t="n">
        <v>71.699</v>
      </c>
      <c r="P104" s="7" t="n">
        <v>90.45250725746155</v>
      </c>
      <c r="Q104" s="7" t="n">
        <v>70.58934116363525</v>
      </c>
      <c r="R104" s="7" t="n">
        <v>86.35601091384888</v>
      </c>
      <c r="S104" s="8">
        <f>IF(N104="SUCCEEDED",P104/Q104,"")</f>
        <v/>
      </c>
      <c r="T104" s="8">
        <f>IF(N104="SUCCEEDED",P104/R104,"")</f>
        <v/>
      </c>
      <c r="U104" s="9">
        <f>IF(N104="SUCCEEDED",IF(D104="B0",O104-P104,O104-Q104),"")</f>
        <v/>
      </c>
      <c r="V104" s="7" t="n">
        <v>50.11553859710693</v>
      </c>
      <c r="W104" s="6" t="n">
        <v>0</v>
      </c>
      <c r="X104" s="7" t="n">
        <v>0</v>
      </c>
      <c r="Y104" s="6" t="n">
        <v>5</v>
      </c>
      <c r="Z104" s="6" t="n">
        <v>0</v>
      </c>
      <c r="AA104" s="6" t="n">
        <v>0</v>
      </c>
      <c r="AB104" s="6" t="n">
        <v>0</v>
      </c>
      <c r="AC104" s="10" t="n">
        <v>2150</v>
      </c>
      <c r="AD104" s="10" t="n">
        <v>6319</v>
      </c>
      <c r="AE104" s="10" t="n">
        <v>6101</v>
      </c>
      <c r="AF104" s="11" t="n">
        <v>0.09222849999999999</v>
      </c>
      <c r="AG104" s="11" t="n">
        <v>0.0009420447052</v>
      </c>
      <c r="AH104" s="11" t="n">
        <v>0.00015</v>
      </c>
      <c r="AI104" s="12">
        <f>AF104+AG104+AH104</f>
        <v/>
      </c>
      <c r="AJ104" s="6" t="n">
        <v>0</v>
      </c>
      <c r="AK104" s="6" t="inlineStr"/>
    </row>
    <row r="105">
      <c r="A105" s="5" t="n">
        <v>2</v>
      </c>
      <c r="B105" s="5" t="n">
        <v>2</v>
      </c>
      <c r="C105" s="5" t="inlineStr">
        <is>
          <t>easy1_32</t>
        </is>
      </c>
      <c r="D105" s="5" t="inlineStr">
        <is>
          <t>B0</t>
        </is>
      </c>
      <c r="E105" s="5" t="inlineStr">
        <is>
          <t>2nd</t>
        </is>
      </c>
      <c r="F105" s="5" t="inlineStr">
        <is>
          <t>easy1</t>
        </is>
      </c>
      <c r="G105" s="5" t="inlineStr">
        <is>
          <t>easy</t>
        </is>
      </c>
      <c r="H105" s="6" t="n">
        <v>1</v>
      </c>
      <c r="I105" s="6" t="n">
        <v>0</v>
      </c>
      <c r="J105" s="6" t="n">
        <v>0</v>
      </c>
      <c r="K105" s="6" t="n">
        <v>5</v>
      </c>
      <c r="L105" s="6" t="n">
        <v>4</v>
      </c>
      <c r="M105" s="6" t="n">
        <v>2</v>
      </c>
      <c r="N105" s="6" t="inlineStr">
        <is>
          <t>SUCCEEDED</t>
        </is>
      </c>
      <c r="O105" s="7" t="n">
        <v>89.779</v>
      </c>
      <c r="P105" s="7" t="n">
        <v>88.34321093559265</v>
      </c>
      <c r="Q105" s="7" t="n">
        <v>57.19323444366455</v>
      </c>
      <c r="R105" s="7" t="n">
        <v>84.19616937637329</v>
      </c>
      <c r="S105" s="8">
        <f>IF(N105="SUCCEEDED",P105/Q105,"")</f>
        <v/>
      </c>
      <c r="T105" s="8">
        <f>IF(N105="SUCCEEDED",P105/R105,"")</f>
        <v/>
      </c>
      <c r="U105" s="9">
        <f>IF(N105="SUCCEEDED",IF(D105="B0",O105-P105,O105-Q105),"")</f>
        <v/>
      </c>
      <c r="V105" s="7" t="n">
        <v>0.2359037399291992</v>
      </c>
      <c r="W105" s="6" t="n">
        <v>0</v>
      </c>
      <c r="X105" s="7" t="n">
        <v>0</v>
      </c>
      <c r="Y105" s="6" t="n">
        <v>5</v>
      </c>
      <c r="Z105" s="6" t="n">
        <v>0</v>
      </c>
      <c r="AA105" s="6" t="n">
        <v>0</v>
      </c>
      <c r="AB105" s="6" t="n">
        <v>0</v>
      </c>
      <c r="AC105" s="10" t="n">
        <v>2145</v>
      </c>
      <c r="AD105" s="10" t="n">
        <v>4938</v>
      </c>
      <c r="AE105" s="10" t="n">
        <v>4716</v>
      </c>
      <c r="AF105" s="11" t="n">
        <v>0.07288575</v>
      </c>
      <c r="AG105" s="11" t="n">
        <v>0.0005953229716</v>
      </c>
      <c r="AH105" s="11" t="n">
        <v>0.000125</v>
      </c>
      <c r="AI105" s="12">
        <f>AF105+AG105+AH105</f>
        <v/>
      </c>
      <c r="AJ105" s="6" t="n">
        <v>0</v>
      </c>
      <c r="AK105" s="6" t="inlineStr"/>
    </row>
    <row r="106">
      <c r="A106" s="5" t="n">
        <v>2</v>
      </c>
      <c r="B106" s="5" t="n">
        <v>3</v>
      </c>
      <c r="C106" s="5" t="inlineStr">
        <is>
          <t>med1_26</t>
        </is>
      </c>
      <c r="D106" s="5" t="inlineStr">
        <is>
          <t>B0</t>
        </is>
      </c>
      <c r="E106" s="5" t="inlineStr">
        <is>
          <t>1st</t>
        </is>
      </c>
      <c r="F106" s="5" t="inlineStr">
        <is>
          <t>med1</t>
        </is>
      </c>
      <c r="G106" s="5" t="inlineStr">
        <is>
          <t>medium</t>
        </is>
      </c>
      <c r="H106" s="6" t="n">
        <v>0</v>
      </c>
      <c r="I106" s="6" t="n">
        <v>0</v>
      </c>
      <c r="J106" s="6" t="n">
        <v>0</v>
      </c>
      <c r="K106" s="6" t="n">
        <v>9</v>
      </c>
      <c r="L106" s="6" t="n">
        <v>4</v>
      </c>
      <c r="M106" s="6" t="n">
        <v>5</v>
      </c>
      <c r="N106" s="6" t="inlineStr">
        <is>
          <t>SUCCEEDED</t>
        </is>
      </c>
      <c r="O106" s="7" t="n">
        <v>194.692</v>
      </c>
      <c r="P106" s="7" t="n">
        <v>192.1424870491028</v>
      </c>
      <c r="Q106" s="7" t="n">
        <v>119.8248271942139</v>
      </c>
      <c r="R106" s="7" t="n">
        <v>143.7095432281494</v>
      </c>
      <c r="S106" s="8">
        <f>IF(N106="SUCCEEDED",P106/Q106,"")</f>
        <v/>
      </c>
      <c r="T106" s="8">
        <f>IF(N106="SUCCEEDED",P106/R106,"")</f>
        <v/>
      </c>
      <c r="U106" s="9">
        <f>IF(N106="SUCCEEDED",IF(D106="B0",O106-P106,O106-Q106),"")</f>
        <v/>
      </c>
      <c r="V106" s="7" t="n">
        <v>0.4448916912078857</v>
      </c>
      <c r="W106" s="6" t="n">
        <v>0</v>
      </c>
      <c r="X106" s="7" t="n">
        <v>0</v>
      </c>
      <c r="Y106" s="6" t="n">
        <v>9</v>
      </c>
      <c r="Z106" s="6" t="n">
        <v>0</v>
      </c>
      <c r="AA106" s="6" t="n">
        <v>0</v>
      </c>
      <c r="AB106" s="6" t="n">
        <v>0</v>
      </c>
      <c r="AC106" s="10" t="n">
        <v>3901</v>
      </c>
      <c r="AD106" s="10" t="n">
        <v>12349</v>
      </c>
      <c r="AE106" s="10" t="n">
        <v>12075</v>
      </c>
      <c r="AF106" s="11" t="n">
        <v>0.17971275</v>
      </c>
      <c r="AG106" s="11" t="n">
        <v>0.0012924864534</v>
      </c>
      <c r="AH106" s="11" t="n">
        <v>0.000225</v>
      </c>
      <c r="AI106" s="12">
        <f>AF106+AG106+AH106</f>
        <v/>
      </c>
      <c r="AJ106" s="6" t="n">
        <v>1</v>
      </c>
      <c r="AK106" s="6" t="inlineStr"/>
    </row>
    <row r="107">
      <c r="A107" s="5" t="n">
        <v>2</v>
      </c>
      <c r="B107" s="5" t="n">
        <v>3</v>
      </c>
      <c r="C107" s="5" t="inlineStr">
        <is>
          <t>med1_26</t>
        </is>
      </c>
      <c r="D107" s="5" t="inlineStr">
        <is>
          <t>A1</t>
        </is>
      </c>
      <c r="E107" s="5" t="inlineStr">
        <is>
          <t>2nd</t>
        </is>
      </c>
      <c r="F107" s="5" t="inlineStr">
        <is>
          <t>med1</t>
        </is>
      </c>
      <c r="G107" s="5" t="inlineStr">
        <is>
          <t>medium</t>
        </is>
      </c>
      <c r="H107" s="6" t="n">
        <v>0</v>
      </c>
      <c r="I107" s="6" t="n">
        <v>0</v>
      </c>
      <c r="J107" s="6" t="n">
        <v>0</v>
      </c>
      <c r="K107" s="6" t="n">
        <v>9</v>
      </c>
      <c r="L107" s="6" t="n">
        <v>4</v>
      </c>
      <c r="M107" s="6" t="n">
        <v>5</v>
      </c>
      <c r="N107" s="6" t="inlineStr">
        <is>
          <t>SUCCEEDED</t>
        </is>
      </c>
      <c r="O107" s="7" t="n">
        <v>83.974</v>
      </c>
      <c r="P107" s="7" t="n">
        <v>161.5766041278839</v>
      </c>
      <c r="Q107" s="7" t="n">
        <v>83.26784253120422</v>
      </c>
      <c r="R107" s="7" t="n">
        <v>107.3369908332825</v>
      </c>
      <c r="S107" s="8">
        <f>IF(N107="SUCCEEDED",P107/Q107,"")</f>
        <v/>
      </c>
      <c r="T107" s="8">
        <f>IF(N107="SUCCEEDED",P107/R107,"")</f>
        <v/>
      </c>
      <c r="U107" s="9">
        <f>IF(N107="SUCCEEDED",IF(D107="B0",O107-P107,O107-Q107),"")</f>
        <v/>
      </c>
      <c r="V107" s="7" t="n">
        <v>96.57903623580933</v>
      </c>
      <c r="W107" s="6" t="n">
        <v>0</v>
      </c>
      <c r="X107" s="7" t="n">
        <v>0</v>
      </c>
      <c r="Y107" s="6" t="n">
        <v>9</v>
      </c>
      <c r="Z107" s="6" t="n">
        <v>0</v>
      </c>
      <c r="AA107" s="6" t="n">
        <v>0</v>
      </c>
      <c r="AB107" s="6" t="n">
        <v>0</v>
      </c>
      <c r="AC107" s="10" t="n">
        <v>3880</v>
      </c>
      <c r="AD107" s="10" t="n">
        <v>10708</v>
      </c>
      <c r="AE107" s="10" t="n">
        <v>10433</v>
      </c>
      <c r="AF107" s="11" t="n">
        <v>0.156702</v>
      </c>
      <c r="AG107" s="11" t="n">
        <v>0.00172914197</v>
      </c>
      <c r="AH107" s="11" t="n">
        <v>0.00025</v>
      </c>
      <c r="AI107" s="12">
        <f>AF107+AG107+AH107</f>
        <v/>
      </c>
      <c r="AJ107" s="6" t="n">
        <v>0</v>
      </c>
      <c r="AK107" s="6" t="inlineStr"/>
    </row>
    <row r="108">
      <c r="A108" s="5" t="n">
        <v>2</v>
      </c>
      <c r="B108" s="5" t="n">
        <v>4</v>
      </c>
      <c r="C108" s="5" t="inlineStr">
        <is>
          <t>protein_1CRN_query_10_mask_4</t>
        </is>
      </c>
      <c r="D108" s="5" t="inlineStr">
        <is>
          <t>A1</t>
        </is>
      </c>
      <c r="E108" s="5" t="inlineStr">
        <is>
          <t>1st</t>
        </is>
      </c>
      <c r="F108" s="5" t="inlineStr">
        <is>
          <t>hard4</t>
        </is>
      </c>
      <c r="G108" s="5" t="inlineStr">
        <is>
          <t>hard</t>
        </is>
      </c>
      <c r="H108" s="6" t="n">
        <v>0</v>
      </c>
      <c r="I108" s="6" t="n">
        <v>0</v>
      </c>
      <c r="J108" s="6" t="n">
        <v>0</v>
      </c>
      <c r="K108" s="6" t="n">
        <v>6</v>
      </c>
      <c r="L108" s="6" t="n">
        <v>5</v>
      </c>
      <c r="M108" s="6" t="n">
        <v>2</v>
      </c>
      <c r="N108" s="6" t="inlineStr">
        <is>
          <t>SUCCEEDED</t>
        </is>
      </c>
      <c r="O108" s="7" t="n">
        <v>126.016</v>
      </c>
      <c r="P108" s="7" t="n">
        <v>139.9859805107117</v>
      </c>
      <c r="Q108" s="7" t="n">
        <v>124.8538808822632</v>
      </c>
      <c r="R108" s="7" t="n">
        <v>124.8538808822632</v>
      </c>
      <c r="S108" s="8">
        <f>IF(N108="SUCCEEDED",P108/Q108,"")</f>
        <v/>
      </c>
      <c r="T108" s="8">
        <f>IF(N108="SUCCEEDED",P108/R108,"")</f>
        <v/>
      </c>
      <c r="U108" s="9">
        <f>IF(N108="SUCCEEDED",IF(D108="B0",O108-P108,O108-Q108),"")</f>
        <v/>
      </c>
      <c r="V108" s="7" t="n">
        <v>203.0930540561676</v>
      </c>
      <c r="W108" s="6" t="n">
        <v>0</v>
      </c>
      <c r="X108" s="7" t="n">
        <v>0</v>
      </c>
      <c r="Y108" s="6" t="n">
        <v>6</v>
      </c>
      <c r="Z108" s="6" t="n">
        <v>0</v>
      </c>
      <c r="AA108" s="6" t="n">
        <v>0</v>
      </c>
      <c r="AB108" s="6" t="n">
        <v>0</v>
      </c>
      <c r="AC108" s="10" t="n">
        <v>69739</v>
      </c>
      <c r="AD108" s="10" t="n">
        <v>10003</v>
      </c>
      <c r="AE108" s="10" t="n">
        <v>9810</v>
      </c>
      <c r="AF108" s="11" t="n">
        <v>0.26208525</v>
      </c>
      <c r="AG108" s="11" t="n">
        <v>0.0022923781225</v>
      </c>
      <c r="AH108" s="11" t="n">
        <v>0.000175</v>
      </c>
      <c r="AI108" s="12">
        <f>AF108+AG108+AH108</f>
        <v/>
      </c>
      <c r="AJ108" s="6" t="n">
        <v>0</v>
      </c>
      <c r="AK108" s="6" t="inlineStr"/>
    </row>
    <row r="109">
      <c r="A109" s="5" t="n">
        <v>2</v>
      </c>
      <c r="B109" s="5" t="n">
        <v>4</v>
      </c>
      <c r="C109" s="5" t="inlineStr">
        <is>
          <t>protein_1CRN_query_10_mask_4</t>
        </is>
      </c>
      <c r="D109" s="5" t="inlineStr">
        <is>
          <t>B0</t>
        </is>
      </c>
      <c r="E109" s="5" t="inlineStr">
        <is>
          <t>2nd</t>
        </is>
      </c>
      <c r="F109" s="5" t="inlineStr">
        <is>
          <t>hard4</t>
        </is>
      </c>
      <c r="G109" s="5" t="inlineStr">
        <is>
          <t>hard</t>
        </is>
      </c>
      <c r="H109" s="6" t="n">
        <v>0</v>
      </c>
      <c r="I109" s="6" t="n">
        <v>0</v>
      </c>
      <c r="J109" s="6" t="n">
        <v>0</v>
      </c>
      <c r="K109" s="6" t="n">
        <v>6</v>
      </c>
      <c r="L109" s="6" t="n">
        <v>5</v>
      </c>
      <c r="M109" s="6" t="n">
        <v>2</v>
      </c>
      <c r="N109" s="6" t="inlineStr">
        <is>
          <t>SUCCEEDED</t>
        </is>
      </c>
      <c r="O109" s="7" t="n">
        <v>144.736</v>
      </c>
      <c r="P109" s="7" t="n">
        <v>128.3536267280579</v>
      </c>
      <c r="Q109" s="7" t="n">
        <v>120.2520940303802</v>
      </c>
      <c r="R109" s="7" t="n">
        <v>120.2520940303802</v>
      </c>
      <c r="S109" s="8">
        <f>IF(N109="SUCCEEDED",P109/Q109,"")</f>
        <v/>
      </c>
      <c r="T109" s="8">
        <f>IF(N109="SUCCEEDED",P109/R109,"")</f>
        <v/>
      </c>
      <c r="U109" s="9">
        <f>IF(N109="SUCCEEDED",IF(D109="B0",O109-P109,O109-Q109),"")</f>
        <v/>
      </c>
      <c r="V109" s="7" t="n">
        <v>0.524022102355957</v>
      </c>
      <c r="W109" s="6" t="n">
        <v>0</v>
      </c>
      <c r="X109" s="7" t="n">
        <v>0</v>
      </c>
      <c r="Y109" s="6" t="n">
        <v>7</v>
      </c>
      <c r="Z109" s="6" t="n">
        <v>1</v>
      </c>
      <c r="AA109" s="6" t="n">
        <v>0</v>
      </c>
      <c r="AB109" s="6" t="n">
        <v>0</v>
      </c>
      <c r="AC109" s="10" t="n">
        <v>69794</v>
      </c>
      <c r="AD109" s="10" t="n">
        <v>10192</v>
      </c>
      <c r="AE109" s="10" t="n">
        <v>9979</v>
      </c>
      <c r="AF109" s="11" t="n">
        <v>0.2476915</v>
      </c>
      <c r="AG109" s="11" t="n">
        <v>0.0009272579625999999</v>
      </c>
      <c r="AH109" s="11" t="n">
        <v>0.000175</v>
      </c>
      <c r="AI109" s="12">
        <f>AF109+AG109+AH109</f>
        <v/>
      </c>
      <c r="AJ109" s="6" t="n">
        <v>0</v>
      </c>
      <c r="AK109" s="6" t="inlineStr"/>
    </row>
    <row r="110">
      <c r="A110" s="5" t="n">
        <v>2</v>
      </c>
      <c r="B110" s="5" t="n">
        <v>5</v>
      </c>
      <c r="C110" s="5" t="inlineStr">
        <is>
          <t>easy1_0</t>
        </is>
      </c>
      <c r="D110" s="5" t="inlineStr">
        <is>
          <t>B0</t>
        </is>
      </c>
      <c r="E110" s="5" t="inlineStr">
        <is>
          <t>1st</t>
        </is>
      </c>
      <c r="F110" s="5" t="inlineStr">
        <is>
          <t>easy1</t>
        </is>
      </c>
      <c r="G110" s="5" t="inlineStr">
        <is>
          <t>easy</t>
        </is>
      </c>
      <c r="H110" s="6" t="n">
        <v>1</v>
      </c>
      <c r="I110" s="6" t="n">
        <v>0</v>
      </c>
      <c r="J110" s="6" t="n">
        <v>0</v>
      </c>
      <c r="K110" s="6" t="n">
        <v>5</v>
      </c>
      <c r="L110" s="6" t="n">
        <v>4</v>
      </c>
      <c r="M110" s="6" t="n">
        <v>2</v>
      </c>
      <c r="N110" s="6" t="inlineStr">
        <is>
          <t>SUCCEEDED</t>
        </is>
      </c>
      <c r="O110" s="7" t="n">
        <v>85.268</v>
      </c>
      <c r="P110" s="7" t="n">
        <v>83.86513900756836</v>
      </c>
      <c r="Q110" s="7" t="n">
        <v>56.78684258460999</v>
      </c>
      <c r="R110" s="7" t="n">
        <v>58.19890809059143</v>
      </c>
      <c r="S110" s="8">
        <f>IF(N110="SUCCEEDED",P110/Q110,"")</f>
        <v/>
      </c>
      <c r="T110" s="8">
        <f>IF(N110="SUCCEEDED",P110/R110,"")</f>
        <v/>
      </c>
      <c r="U110" s="9">
        <f>IF(N110="SUCCEEDED",IF(D110="B0",O110-P110,O110-Q110),"")</f>
        <v/>
      </c>
      <c r="V110" s="7" t="n">
        <v>0.2372152805328369</v>
      </c>
      <c r="W110" s="6" t="n">
        <v>0</v>
      </c>
      <c r="X110" s="7" t="n">
        <v>0</v>
      </c>
      <c r="Y110" s="6" t="n">
        <v>5</v>
      </c>
      <c r="Z110" s="6" t="n">
        <v>0</v>
      </c>
      <c r="AA110" s="6" t="n">
        <v>0</v>
      </c>
      <c r="AB110" s="6" t="n">
        <v>0</v>
      </c>
      <c r="AC110" s="10" t="n">
        <v>2213</v>
      </c>
      <c r="AD110" s="10" t="n">
        <v>5871</v>
      </c>
      <c r="AE110" s="10" t="n">
        <v>5640</v>
      </c>
      <c r="AF110" s="11" t="n">
        <v>0.08606675</v>
      </c>
      <c r="AG110" s="11" t="n">
        <v>0.0005652894881</v>
      </c>
      <c r="AH110" s="11" t="n">
        <v>0.000125</v>
      </c>
      <c r="AI110" s="12">
        <f>AF110+AG110+AH110</f>
        <v/>
      </c>
      <c r="AJ110" s="6" t="n">
        <v>1</v>
      </c>
      <c r="AK110" s="6" t="inlineStr"/>
    </row>
    <row r="111">
      <c r="A111" s="5" t="n">
        <v>2</v>
      </c>
      <c r="B111" s="5" t="n">
        <v>5</v>
      </c>
      <c r="C111" s="5" t="inlineStr">
        <is>
          <t>easy1_0</t>
        </is>
      </c>
      <c r="D111" s="5" t="inlineStr">
        <is>
          <t>A1</t>
        </is>
      </c>
      <c r="E111" s="5" t="inlineStr">
        <is>
          <t>2nd</t>
        </is>
      </c>
      <c r="F111" s="5" t="inlineStr">
        <is>
          <t>easy1</t>
        </is>
      </c>
      <c r="G111" s="5" t="inlineStr">
        <is>
          <t>easy</t>
        </is>
      </c>
      <c r="H111" s="6" t="n">
        <v>1</v>
      </c>
      <c r="I111" s="6" t="n">
        <v>0</v>
      </c>
      <c r="J111" s="6" t="n">
        <v>0</v>
      </c>
      <c r="K111" s="6" t="n">
        <v>5</v>
      </c>
      <c r="L111" s="6" t="n">
        <v>4</v>
      </c>
      <c r="M111" s="6" t="n">
        <v>2</v>
      </c>
      <c r="N111" s="6" t="inlineStr">
        <is>
          <t>SUCCEEDED</t>
        </is>
      </c>
      <c r="O111" s="7" t="n">
        <v>78.143</v>
      </c>
      <c r="P111" s="7" t="n">
        <v>101.5184955596924</v>
      </c>
      <c r="Q111" s="7" t="n">
        <v>77.04470133781433</v>
      </c>
      <c r="R111" s="7" t="n">
        <v>77.04470133781433</v>
      </c>
      <c r="S111" s="8">
        <f>IF(N111="SUCCEEDED",P111/Q111,"")</f>
        <v/>
      </c>
      <c r="T111" s="8">
        <f>IF(N111="SUCCEEDED",P111/R111,"")</f>
        <v/>
      </c>
      <c r="U111" s="9">
        <f>IF(N111="SUCCEEDED",IF(D111="B0",O111-P111,O111-Q111),"")</f>
        <v/>
      </c>
      <c r="V111" s="7" t="n">
        <v>111.9261028766632</v>
      </c>
      <c r="W111" s="6" t="n">
        <v>0</v>
      </c>
      <c r="X111" s="7" t="n">
        <v>0</v>
      </c>
      <c r="Y111" s="6" t="n">
        <v>5</v>
      </c>
      <c r="Z111" s="6" t="n">
        <v>0</v>
      </c>
      <c r="AA111" s="6" t="n">
        <v>0</v>
      </c>
      <c r="AB111" s="6" t="n">
        <v>0</v>
      </c>
      <c r="AC111" s="10" t="n">
        <v>2218</v>
      </c>
      <c r="AD111" s="10" t="n">
        <v>5881</v>
      </c>
      <c r="AE111" s="10" t="n">
        <v>5650</v>
      </c>
      <c r="AF111" s="11" t="n">
        <v>0.0862155</v>
      </c>
      <c r="AG111" s="11" t="n">
        <v>0.0014277338003</v>
      </c>
      <c r="AH111" s="11" t="n">
        <v>0.00015</v>
      </c>
      <c r="AI111" s="12">
        <f>AF111+AG111+AH111</f>
        <v/>
      </c>
      <c r="AJ111" s="6" t="n">
        <v>1</v>
      </c>
      <c r="AK111" s="6" t="inlineStr"/>
    </row>
    <row r="112">
      <c r="A112" s="5" t="n">
        <v>2</v>
      </c>
      <c r="B112" s="5" t="n">
        <v>6</v>
      </c>
      <c r="C112" s="5" t="inlineStr">
        <is>
          <t>easy1_10</t>
        </is>
      </c>
      <c r="D112" s="5" t="inlineStr">
        <is>
          <t>A1</t>
        </is>
      </c>
      <c r="E112" s="5" t="inlineStr">
        <is>
          <t>1st</t>
        </is>
      </c>
      <c r="F112" s="5" t="inlineStr">
        <is>
          <t>easy1</t>
        </is>
      </c>
      <c r="G112" s="5" t="inlineStr">
        <is>
          <t>easy</t>
        </is>
      </c>
      <c r="H112" s="6" t="n">
        <v>1</v>
      </c>
      <c r="I112" s="6" t="n">
        <v>0</v>
      </c>
      <c r="J112" s="6" t="n">
        <v>0</v>
      </c>
      <c r="K112" s="6" t="n">
        <v>5</v>
      </c>
      <c r="L112" s="6" t="n">
        <v>4</v>
      </c>
      <c r="M112" s="6" t="n">
        <v>2</v>
      </c>
      <c r="N112" s="6" t="inlineStr">
        <is>
          <t>SUCCEEDED</t>
        </is>
      </c>
      <c r="O112" s="7" t="n">
        <v>51.355</v>
      </c>
      <c r="P112" s="7" t="n">
        <v>60.48276901245117</v>
      </c>
      <c r="Q112" s="7" t="n">
        <v>50.44001579284668</v>
      </c>
      <c r="R112" s="7" t="n">
        <v>57.14816331863403</v>
      </c>
      <c r="S112" s="8">
        <f>IF(N112="SUCCEEDED",P112/Q112,"")</f>
        <v/>
      </c>
      <c r="T112" s="8">
        <f>IF(N112="SUCCEEDED",P112/R112,"")</f>
        <v/>
      </c>
      <c r="U112" s="9">
        <f>IF(N112="SUCCEEDED",IF(D112="B0",O112-P112,O112-Q112),"")</f>
        <v/>
      </c>
      <c r="V112" s="7" t="n">
        <v>27.3703932762146</v>
      </c>
      <c r="W112" s="6" t="n">
        <v>0</v>
      </c>
      <c r="X112" s="7" t="n">
        <v>0</v>
      </c>
      <c r="Y112" s="6" t="n">
        <v>5</v>
      </c>
      <c r="Z112" s="6" t="n">
        <v>0</v>
      </c>
      <c r="AA112" s="6" t="n">
        <v>0</v>
      </c>
      <c r="AB112" s="6" t="n">
        <v>0</v>
      </c>
      <c r="AC112" s="10" t="n">
        <v>2001</v>
      </c>
      <c r="AD112" s="10" t="n">
        <v>3365</v>
      </c>
      <c r="AE112" s="10" t="n">
        <v>3201</v>
      </c>
      <c r="AF112" s="11" t="n">
        <v>0.05061175</v>
      </c>
      <c r="AG112" s="11" t="n">
        <v>0.0005903229466</v>
      </c>
      <c r="AH112" s="11" t="n">
        <v>0.00015</v>
      </c>
      <c r="AI112" s="12">
        <f>AF112+AG112+AH112</f>
        <v/>
      </c>
      <c r="AJ112" s="6" t="n">
        <v>0</v>
      </c>
      <c r="AK112" s="6" t="inlineStr"/>
    </row>
    <row r="113">
      <c r="A113" s="5" t="n">
        <v>2</v>
      </c>
      <c r="B113" s="5" t="n">
        <v>6</v>
      </c>
      <c r="C113" s="5" t="inlineStr">
        <is>
          <t>easy1_10</t>
        </is>
      </c>
      <c r="D113" s="5" t="inlineStr">
        <is>
          <t>B0</t>
        </is>
      </c>
      <c r="E113" s="5" t="inlineStr">
        <is>
          <t>2nd</t>
        </is>
      </c>
      <c r="F113" s="5" t="inlineStr">
        <is>
          <t>easy1</t>
        </is>
      </c>
      <c r="G113" s="5" t="inlineStr">
        <is>
          <t>easy</t>
        </is>
      </c>
      <c r="H113" s="6" t="n">
        <v>1</v>
      </c>
      <c r="I113" s="6" t="n">
        <v>0</v>
      </c>
      <c r="J113" s="6" t="n">
        <v>0</v>
      </c>
      <c r="K113" s="6" t="n">
        <v>5</v>
      </c>
      <c r="L113" s="6" t="n">
        <v>4</v>
      </c>
      <c r="M113" s="6" t="n">
        <v>2</v>
      </c>
      <c r="N113" s="6" t="inlineStr">
        <is>
          <t>SUCCEEDED</t>
        </is>
      </c>
      <c r="O113" s="7" t="n">
        <v>55.066</v>
      </c>
      <c r="P113" s="7" t="n">
        <v>53.73525023460388</v>
      </c>
      <c r="Q113" s="7" t="n">
        <v>42.29634165763855</v>
      </c>
      <c r="R113" s="7" t="n">
        <v>51.58255863189697</v>
      </c>
      <c r="S113" s="8">
        <f>IF(N113="SUCCEEDED",P113/Q113,"")</f>
        <v/>
      </c>
      <c r="T113" s="8">
        <f>IF(N113="SUCCEEDED",P113/R113,"")</f>
        <v/>
      </c>
      <c r="U113" s="9">
        <f>IF(N113="SUCCEEDED",IF(D113="B0",O113-P113,O113-Q113),"")</f>
        <v/>
      </c>
      <c r="V113" s="7" t="n">
        <v>0.2221090793609619</v>
      </c>
      <c r="W113" s="6" t="n">
        <v>0</v>
      </c>
      <c r="X113" s="7" t="n">
        <v>0</v>
      </c>
      <c r="Y113" s="6" t="n">
        <v>5</v>
      </c>
      <c r="Z113" s="6" t="n">
        <v>0</v>
      </c>
      <c r="AA113" s="6" t="n">
        <v>0</v>
      </c>
      <c r="AB113" s="6" t="n">
        <v>0</v>
      </c>
      <c r="AC113" s="10" t="n">
        <v>1995</v>
      </c>
      <c r="AD113" s="10" t="n">
        <v>3260</v>
      </c>
      <c r="AE113" s="10" t="n">
        <v>3107</v>
      </c>
      <c r="AF113" s="11" t="n">
        <v>0.04913125</v>
      </c>
      <c r="AG113" s="11" t="n">
        <v>0.0003641084822</v>
      </c>
      <c r="AH113" s="11" t="n">
        <v>0.000125</v>
      </c>
      <c r="AI113" s="12">
        <f>AF113+AG113+AH113</f>
        <v/>
      </c>
      <c r="AJ113" s="6" t="n">
        <v>0</v>
      </c>
      <c r="AK113" s="6" t="inlineStr"/>
    </row>
    <row r="114">
      <c r="A114" s="5" t="n">
        <v>2</v>
      </c>
      <c r="B114" s="5" t="n">
        <v>7</v>
      </c>
      <c r="C114" s="5" t="inlineStr">
        <is>
          <t>easy2_30</t>
        </is>
      </c>
      <c r="D114" s="5" t="inlineStr">
        <is>
          <t>B0</t>
        </is>
      </c>
      <c r="E114" s="5" t="inlineStr">
        <is>
          <t>1st</t>
        </is>
      </c>
      <c r="F114" s="5" t="inlineStr">
        <is>
          <t>easy2</t>
        </is>
      </c>
      <c r="G114" s="5" t="inlineStr">
        <is>
          <t>easy</t>
        </is>
      </c>
      <c r="H114" s="6" t="n">
        <v>1</v>
      </c>
      <c r="I114" s="6" t="n">
        <v>0</v>
      </c>
      <c r="J114" s="6" t="n">
        <v>1</v>
      </c>
      <c r="K114" s="6" t="n">
        <v>5</v>
      </c>
      <c r="L114" s="6" t="n">
        <v>4</v>
      </c>
      <c r="M114" s="6" t="n">
        <v>2</v>
      </c>
      <c r="N114" s="6" t="inlineStr">
        <is>
          <t>SUCCEEDED</t>
        </is>
      </c>
      <c r="O114" s="7" t="n">
        <v>94.125</v>
      </c>
      <c r="P114" s="7" t="n">
        <v>92.70293188095093</v>
      </c>
      <c r="Q114" s="7" t="n">
        <v>85.41577649116516</v>
      </c>
      <c r="R114" s="7" t="n">
        <v>85.41577649116516</v>
      </c>
      <c r="S114" s="8">
        <f>IF(N114="SUCCEEDED",P114/Q114,"")</f>
        <v/>
      </c>
      <c r="T114" s="8">
        <f>IF(N114="SUCCEEDED",P114/R114,"")</f>
        <v/>
      </c>
      <c r="U114" s="9">
        <f>IF(N114="SUCCEEDED",IF(D114="B0",O114-P114,O114-Q114),"")</f>
        <v/>
      </c>
      <c r="V114" s="7" t="n">
        <v>0.2386953830718994</v>
      </c>
      <c r="W114" s="6" t="n">
        <v>0</v>
      </c>
      <c r="X114" s="7" t="n">
        <v>0</v>
      </c>
      <c r="Y114" s="6" t="n">
        <v>5</v>
      </c>
      <c r="Z114" s="6" t="n">
        <v>0</v>
      </c>
      <c r="AA114" s="6" t="n">
        <v>0</v>
      </c>
      <c r="AB114" s="6" t="n">
        <v>0</v>
      </c>
      <c r="AC114" s="10" t="n">
        <v>2705</v>
      </c>
      <c r="AD114" s="10" t="n">
        <v>6099</v>
      </c>
      <c r="AE114" s="10" t="n">
        <v>5600</v>
      </c>
      <c r="AF114" s="11" t="n">
        <v>0.09011975</v>
      </c>
      <c r="AG114" s="11" t="n">
        <v>0.0006241564491</v>
      </c>
      <c r="AH114" s="11" t="n">
        <v>0.000125</v>
      </c>
      <c r="AI114" s="12">
        <f>AF114+AG114+AH114</f>
        <v/>
      </c>
      <c r="AJ114" s="6" t="n">
        <v>0</v>
      </c>
      <c r="AK114" s="6" t="inlineStr">
        <is>
          <t>no</t>
        </is>
      </c>
    </row>
    <row r="115">
      <c r="A115" s="5" t="n">
        <v>2</v>
      </c>
      <c r="B115" s="5" t="n">
        <v>7</v>
      </c>
      <c r="C115" s="5" t="inlineStr">
        <is>
          <t>easy2_30</t>
        </is>
      </c>
      <c r="D115" s="5" t="inlineStr">
        <is>
          <t>A1</t>
        </is>
      </c>
      <c r="E115" s="5" t="inlineStr">
        <is>
          <t>2nd</t>
        </is>
      </c>
      <c r="F115" s="5" t="inlineStr">
        <is>
          <t>easy2</t>
        </is>
      </c>
      <c r="G115" s="5" t="inlineStr">
        <is>
          <t>easy</t>
        </is>
      </c>
      <c r="H115" s="6" t="n">
        <v>1</v>
      </c>
      <c r="I115" s="6" t="n">
        <v>0</v>
      </c>
      <c r="J115" s="6" t="n">
        <v>1</v>
      </c>
      <c r="K115" s="6" t="n">
        <v>5</v>
      </c>
      <c r="L115" s="6" t="n">
        <v>4</v>
      </c>
      <c r="M115" s="6" t="n">
        <v>2</v>
      </c>
      <c r="N115" s="6" t="inlineStr">
        <is>
          <t>SUCCEEDED</t>
        </is>
      </c>
      <c r="O115" s="7" t="n">
        <v>89.571</v>
      </c>
      <c r="P115" s="7" t="n">
        <v>97.36821579933167</v>
      </c>
      <c r="Q115" s="7" t="n">
        <v>88.80373644828796</v>
      </c>
      <c r="R115" s="7" t="n">
        <v>88.80373644828796</v>
      </c>
      <c r="S115" s="8">
        <f>IF(N115="SUCCEEDED",P115/Q115,"")</f>
        <v/>
      </c>
      <c r="T115" s="8">
        <f>IF(N115="SUCCEEDED",P115/R115,"")</f>
        <v/>
      </c>
      <c r="U115" s="9">
        <f>IF(N115="SUCCEEDED",IF(D115="B0",O115-P115,O115-Q115),"")</f>
        <v/>
      </c>
      <c r="V115" s="7" t="n">
        <v>195.5229470729828</v>
      </c>
      <c r="W115" s="6" t="n">
        <v>0</v>
      </c>
      <c r="X115" s="7" t="n">
        <v>0</v>
      </c>
      <c r="Y115" s="6" t="n">
        <v>5</v>
      </c>
      <c r="Z115" s="6" t="n">
        <v>0</v>
      </c>
      <c r="AA115" s="6" t="n">
        <v>0</v>
      </c>
      <c r="AB115" s="6" t="n">
        <v>0</v>
      </c>
      <c r="AC115" s="10" t="n">
        <v>2816</v>
      </c>
      <c r="AD115" s="10" t="n">
        <v>7193</v>
      </c>
      <c r="AE115" s="10" t="n">
        <v>6592</v>
      </c>
      <c r="AF115" s="11" t="n">
        <v>0.10563</v>
      </c>
      <c r="AG115" s="11" t="n">
        <v>0.0019570964471</v>
      </c>
      <c r="AH115" s="11" t="n">
        <v>0.00015</v>
      </c>
      <c r="AI115" s="12">
        <f>AF115+AG115+AH115</f>
        <v/>
      </c>
      <c r="AJ115" s="6" t="n">
        <v>0</v>
      </c>
      <c r="AK115" s="6" t="inlineStr">
        <is>
          <t>no</t>
        </is>
      </c>
    </row>
    <row r="116">
      <c r="A116" s="5" t="n">
        <v>2</v>
      </c>
      <c r="B116" s="5" t="n">
        <v>8</v>
      </c>
      <c r="C116" s="5" t="inlineStr">
        <is>
          <t>easy2_6</t>
        </is>
      </c>
      <c r="D116" s="5" t="inlineStr">
        <is>
          <t>A1</t>
        </is>
      </c>
      <c r="E116" s="5" t="inlineStr">
        <is>
          <t>1st</t>
        </is>
      </c>
      <c r="F116" s="5" t="inlineStr">
        <is>
          <t>easy2</t>
        </is>
      </c>
      <c r="G116" s="5" t="inlineStr">
        <is>
          <t>easy</t>
        </is>
      </c>
      <c r="H116" s="6" t="n">
        <v>1</v>
      </c>
      <c r="I116" s="6" t="n">
        <v>0</v>
      </c>
      <c r="J116" s="6" t="n">
        <v>1</v>
      </c>
      <c r="K116" s="6" t="n">
        <v>5</v>
      </c>
      <c r="L116" s="6" t="n">
        <v>4</v>
      </c>
      <c r="M116" s="6" t="n">
        <v>2</v>
      </c>
      <c r="N116" s="6" t="inlineStr">
        <is>
          <t>SUCCEEDED</t>
        </is>
      </c>
      <c r="O116" s="7" t="n">
        <v>84.294</v>
      </c>
      <c r="P116" s="7" t="n">
        <v>87.84619450569153</v>
      </c>
      <c r="Q116" s="7" t="n">
        <v>83.35051512718201</v>
      </c>
      <c r="R116" s="7" t="n">
        <v>83.35051512718201</v>
      </c>
      <c r="S116" s="8">
        <f>IF(N116="SUCCEEDED",P116/Q116,"")</f>
        <v/>
      </c>
      <c r="T116" s="8">
        <f>IF(N116="SUCCEEDED",P116/R116,"")</f>
        <v/>
      </c>
      <c r="U116" s="9">
        <f>IF(N116="SUCCEEDED",IF(D116="B0",O116-P116,O116-Q116),"")</f>
        <v/>
      </c>
      <c r="V116" s="7" t="n">
        <v>139.6720054149628</v>
      </c>
      <c r="W116" s="6" t="n">
        <v>0</v>
      </c>
      <c r="X116" s="7" t="n">
        <v>0</v>
      </c>
      <c r="Y116" s="6" t="n">
        <v>5</v>
      </c>
      <c r="Z116" s="6" t="n">
        <v>0</v>
      </c>
      <c r="AA116" s="6" t="n">
        <v>0</v>
      </c>
      <c r="AB116" s="6" t="n">
        <v>0</v>
      </c>
      <c r="AC116" s="10" t="n">
        <v>3274</v>
      </c>
      <c r="AD116" s="10" t="n">
        <v>6823</v>
      </c>
      <c r="AE116" s="10" t="n">
        <v>5667</v>
      </c>
      <c r="AF116" s="11" t="n">
        <v>0.1012515</v>
      </c>
      <c r="AG116" s="11" t="n">
        <v>0.0015213342683</v>
      </c>
      <c r="AH116" s="11" t="n">
        <v>0.00015</v>
      </c>
      <c r="AI116" s="12">
        <f>AF116+AG116+AH116</f>
        <v/>
      </c>
      <c r="AJ116" s="6" t="n">
        <v>0</v>
      </c>
      <c r="AK116" s="6" t="inlineStr">
        <is>
          <t>no</t>
        </is>
      </c>
    </row>
    <row r="117">
      <c r="A117" s="5" t="n">
        <v>2</v>
      </c>
      <c r="B117" s="5" t="n">
        <v>8</v>
      </c>
      <c r="C117" s="5" t="inlineStr">
        <is>
          <t>easy2_6</t>
        </is>
      </c>
      <c r="D117" s="5" t="inlineStr">
        <is>
          <t>B0</t>
        </is>
      </c>
      <c r="E117" s="5" t="inlineStr">
        <is>
          <t>2nd</t>
        </is>
      </c>
      <c r="F117" s="5" t="inlineStr">
        <is>
          <t>easy2</t>
        </is>
      </c>
      <c r="G117" s="5" t="inlineStr">
        <is>
          <t>easy</t>
        </is>
      </c>
      <c r="H117" s="6" t="n">
        <v>1</v>
      </c>
      <c r="I117" s="6" t="n">
        <v>0</v>
      </c>
      <c r="J117" s="6" t="n">
        <v>1</v>
      </c>
      <c r="K117" s="6" t="n">
        <v>5</v>
      </c>
      <c r="L117" s="6" t="n">
        <v>4</v>
      </c>
      <c r="M117" s="6" t="n">
        <v>2</v>
      </c>
      <c r="N117" s="6" t="inlineStr">
        <is>
          <t>SUCCEEDED</t>
        </is>
      </c>
      <c r="O117" s="7" t="n">
        <v>78.78400000000001</v>
      </c>
      <c r="P117" s="7" t="n">
        <v>77.34209322929382</v>
      </c>
      <c r="Q117" s="7" t="n">
        <v>72.86589050292969</v>
      </c>
      <c r="R117" s="7" t="n">
        <v>72.86589050292969</v>
      </c>
      <c r="S117" s="8">
        <f>IF(N117="SUCCEEDED",P117/Q117,"")</f>
        <v/>
      </c>
      <c r="T117" s="8">
        <f>IF(N117="SUCCEEDED",P117/R117,"")</f>
        <v/>
      </c>
      <c r="U117" s="9">
        <f>IF(N117="SUCCEEDED",IF(D117="B0",O117-P117,O117-Q117),"")</f>
        <v/>
      </c>
      <c r="V117" s="7" t="n">
        <v>0.2389905452728271</v>
      </c>
      <c r="W117" s="6" t="n">
        <v>0</v>
      </c>
      <c r="X117" s="7" t="n">
        <v>0</v>
      </c>
      <c r="Y117" s="6" t="n">
        <v>5</v>
      </c>
      <c r="Z117" s="6" t="n">
        <v>0</v>
      </c>
      <c r="AA117" s="6" t="n">
        <v>0</v>
      </c>
      <c r="AB117" s="6" t="n">
        <v>0</v>
      </c>
      <c r="AC117" s="10" t="n">
        <v>3528</v>
      </c>
      <c r="AD117" s="10" t="n">
        <v>5735</v>
      </c>
      <c r="AE117" s="10" t="n">
        <v>4335</v>
      </c>
      <c r="AF117" s="11" t="n">
        <v>0.08646400000000001</v>
      </c>
      <c r="AG117" s="11" t="n">
        <v>0.0005221292723</v>
      </c>
      <c r="AH117" s="11" t="n">
        <v>0.000125</v>
      </c>
      <c r="AI117" s="12">
        <f>AF117+AG117+AH117</f>
        <v/>
      </c>
      <c r="AJ117" s="6" t="n">
        <v>0</v>
      </c>
      <c r="AK117" s="6" t="inlineStr">
        <is>
          <t>no</t>
        </is>
      </c>
    </row>
    <row r="118">
      <c r="A118" s="5" t="n">
        <v>2</v>
      </c>
      <c r="B118" s="5" t="n">
        <v>9</v>
      </c>
      <c r="C118" s="5" t="inlineStr">
        <is>
          <t>hard1_28</t>
        </is>
      </c>
      <c r="D118" s="5" t="inlineStr">
        <is>
          <t>B0</t>
        </is>
      </c>
      <c r="E118" s="5" t="inlineStr">
        <is>
          <t>1st</t>
        </is>
      </c>
      <c r="F118" s="5" t="inlineStr">
        <is>
          <t>hard1</t>
        </is>
      </c>
      <c r="G118" s="5" t="inlineStr">
        <is>
          <t>hard</t>
        </is>
      </c>
      <c r="H118" s="6" t="n">
        <v>0</v>
      </c>
      <c r="I118" s="6" t="n">
        <v>0</v>
      </c>
      <c r="J118" s="6" t="n">
        <v>0</v>
      </c>
      <c r="K118" s="6" t="n">
        <v>16</v>
      </c>
      <c r="L118" s="6" t="n">
        <v>9</v>
      </c>
      <c r="M118" s="6" t="n">
        <v>5</v>
      </c>
      <c r="N118" s="6" t="inlineStr">
        <is>
          <t>SUCCEEDED</t>
        </is>
      </c>
      <c r="O118" s="7" t="n">
        <v>242.572</v>
      </c>
      <c r="P118" s="7" t="n">
        <v>238.1862742900848</v>
      </c>
      <c r="Q118" s="7" t="n">
        <v>195.1713173389435</v>
      </c>
      <c r="R118" s="7" t="n">
        <v>207.9291107654572</v>
      </c>
      <c r="S118" s="8">
        <f>IF(N118="SUCCEEDED",P118/Q118,"")</f>
        <v/>
      </c>
      <c r="T118" s="8">
        <f>IF(N118="SUCCEEDED",P118/R118,"")</f>
        <v/>
      </c>
      <c r="U118" s="9">
        <f>IF(N118="SUCCEEDED",IF(D118="B0",O118-P118,O118-Q118),"")</f>
        <v/>
      </c>
      <c r="V118" s="7" t="n">
        <v>1.071784973144531</v>
      </c>
      <c r="W118" s="6" t="n">
        <v>0</v>
      </c>
      <c r="X118" s="7" t="n">
        <v>0</v>
      </c>
      <c r="Y118" s="6" t="n">
        <v>16</v>
      </c>
      <c r="Z118" s="6" t="n">
        <v>0</v>
      </c>
      <c r="AA118" s="6" t="n">
        <v>0</v>
      </c>
      <c r="AB118" s="6" t="n">
        <v>0</v>
      </c>
      <c r="AC118" s="10" t="n">
        <v>8413</v>
      </c>
      <c r="AD118" s="10" t="n">
        <v>15496</v>
      </c>
      <c r="AE118" s="10" t="n">
        <v>14960</v>
      </c>
      <c r="AF118" s="11" t="n">
        <v>0.23166675</v>
      </c>
      <c r="AG118" s="11" t="n">
        <v>0.0016082013583</v>
      </c>
      <c r="AH118" s="11" t="n">
        <v>0.0004</v>
      </c>
      <c r="AI118" s="12">
        <f>AF118+AG118+AH118</f>
        <v/>
      </c>
      <c r="AJ118" s="6" t="n">
        <v>0</v>
      </c>
      <c r="AK118" s="6" t="inlineStr"/>
    </row>
    <row r="119">
      <c r="A119" s="5" t="n">
        <v>2</v>
      </c>
      <c r="B119" s="5" t="n">
        <v>9</v>
      </c>
      <c r="C119" s="5" t="inlineStr">
        <is>
          <t>hard1_28</t>
        </is>
      </c>
      <c r="D119" s="5" t="inlineStr">
        <is>
          <t>A1</t>
        </is>
      </c>
      <c r="E119" s="5" t="inlineStr">
        <is>
          <t>2nd</t>
        </is>
      </c>
      <c r="F119" s="5" t="inlineStr">
        <is>
          <t>hard1</t>
        </is>
      </c>
      <c r="G119" s="5" t="inlineStr">
        <is>
          <t>hard</t>
        </is>
      </c>
      <c r="H119" s="6" t="n">
        <v>0</v>
      </c>
      <c r="I119" s="6" t="n">
        <v>0</v>
      </c>
      <c r="J119" s="6" t="n">
        <v>0</v>
      </c>
      <c r="K119" s="6" t="n">
        <v>16</v>
      </c>
      <c r="L119" s="6" t="n">
        <v>9</v>
      </c>
      <c r="M119" s="6" t="n">
        <v>5</v>
      </c>
      <c r="N119" s="6" t="inlineStr">
        <is>
          <t>SUCCEEDED</t>
        </is>
      </c>
      <c r="O119" s="7" t="n">
        <v>183.868</v>
      </c>
      <c r="P119" s="7" t="n">
        <v>223.2839696407318</v>
      </c>
      <c r="Q119" s="7" t="n">
        <v>181.9747934341431</v>
      </c>
      <c r="R119" s="7" t="n">
        <v>198.2040677070618</v>
      </c>
      <c r="S119" s="8">
        <f>IF(N119="SUCCEEDED",P119/Q119,"")</f>
        <v/>
      </c>
      <c r="T119" s="8">
        <f>IF(N119="SUCCEEDED",P119/R119,"")</f>
        <v/>
      </c>
      <c r="U119" s="9">
        <f>IF(N119="SUCCEEDED",IF(D119="B0",O119-P119,O119-Q119),"")</f>
        <v/>
      </c>
      <c r="V119" s="7" t="n">
        <v>478.5845057964325</v>
      </c>
      <c r="W119" s="6" t="n">
        <v>0</v>
      </c>
      <c r="X119" s="7" t="n">
        <v>0</v>
      </c>
      <c r="Y119" s="6" t="n">
        <v>16</v>
      </c>
      <c r="Z119" s="6" t="n">
        <v>0</v>
      </c>
      <c r="AA119" s="6" t="n">
        <v>0</v>
      </c>
      <c r="AB119" s="6" t="n">
        <v>0</v>
      </c>
      <c r="AC119" s="10" t="n">
        <v>8420</v>
      </c>
      <c r="AD119" s="10" t="n">
        <v>15473</v>
      </c>
      <c r="AE119" s="10" t="n">
        <v>14952</v>
      </c>
      <c r="AF119" s="11" t="n">
        <v>0.231357</v>
      </c>
      <c r="AG119" s="11" t="n">
        <v>0.0046924367794</v>
      </c>
      <c r="AH119" s="11" t="n">
        <v>0.000425</v>
      </c>
      <c r="AI119" s="12">
        <f>AF119+AG119+AH119</f>
        <v/>
      </c>
      <c r="AJ119" s="6" t="n">
        <v>0</v>
      </c>
      <c r="AK119" s="6" t="inlineStr"/>
    </row>
    <row r="120">
      <c r="A120" s="5" t="n">
        <v>2</v>
      </c>
      <c r="B120" s="5" t="n">
        <v>10</v>
      </c>
      <c r="C120" s="5" t="inlineStr">
        <is>
          <t>easy1_48</t>
        </is>
      </c>
      <c r="D120" s="5" t="inlineStr">
        <is>
          <t>A1</t>
        </is>
      </c>
      <c r="E120" s="5" t="inlineStr">
        <is>
          <t>1st</t>
        </is>
      </c>
      <c r="F120" s="5" t="inlineStr">
        <is>
          <t>easy1</t>
        </is>
      </c>
      <c r="G120" s="5" t="inlineStr">
        <is>
          <t>easy</t>
        </is>
      </c>
      <c r="H120" s="6" t="n">
        <v>1</v>
      </c>
      <c r="I120" s="6" t="n">
        <v>0</v>
      </c>
      <c r="J120" s="6" t="n">
        <v>0</v>
      </c>
      <c r="K120" s="6" t="n">
        <v>5</v>
      </c>
      <c r="L120" s="6" t="n">
        <v>4</v>
      </c>
      <c r="M120" s="6" t="n">
        <v>2</v>
      </c>
      <c r="N120" s="6" t="inlineStr">
        <is>
          <t>SUCCEEDED</t>
        </is>
      </c>
      <c r="O120" s="7" t="n">
        <v>62.308</v>
      </c>
      <c r="P120" s="7" t="n">
        <v>78.71293306350708</v>
      </c>
      <c r="Q120" s="7" t="n">
        <v>61.76291823387146</v>
      </c>
      <c r="R120" s="7" t="n">
        <v>74.3996479511261</v>
      </c>
      <c r="S120" s="8">
        <f>IF(N120="SUCCEEDED",P120/Q120,"")</f>
        <v/>
      </c>
      <c r="T120" s="8">
        <f>IF(N120="SUCCEEDED",P120/R120,"")</f>
        <v/>
      </c>
      <c r="U120" s="9">
        <f>IF(N120="SUCCEEDED",IF(D120="B0",O120-P120,O120-Q120),"")</f>
        <v/>
      </c>
      <c r="V120" s="7" t="n">
        <v>52.38814640045166</v>
      </c>
      <c r="W120" s="6" t="n">
        <v>0</v>
      </c>
      <c r="X120" s="7" t="n">
        <v>0</v>
      </c>
      <c r="Y120" s="6" t="n">
        <v>5</v>
      </c>
      <c r="Z120" s="6" t="n">
        <v>0</v>
      </c>
      <c r="AA120" s="6" t="n">
        <v>0</v>
      </c>
      <c r="AB120" s="6" t="n">
        <v>0</v>
      </c>
      <c r="AC120" s="10" t="n">
        <v>2035</v>
      </c>
      <c r="AD120" s="10" t="n">
        <v>4396</v>
      </c>
      <c r="AE120" s="10" t="n">
        <v>4231</v>
      </c>
      <c r="AF120" s="11" t="n">
        <v>0.06510525</v>
      </c>
      <c r="AG120" s="11" t="n">
        <v>0.0008783643868000001</v>
      </c>
      <c r="AH120" s="11" t="n">
        <v>0.00015</v>
      </c>
      <c r="AI120" s="12">
        <f>AF120+AG120+AH120</f>
        <v/>
      </c>
      <c r="AJ120" s="6" t="n">
        <v>0</v>
      </c>
      <c r="AK120" s="6" t="inlineStr"/>
    </row>
    <row r="121">
      <c r="A121" s="5" t="n">
        <v>2</v>
      </c>
      <c r="B121" s="5" t="n">
        <v>10</v>
      </c>
      <c r="C121" s="5" t="inlineStr">
        <is>
          <t>easy1_48</t>
        </is>
      </c>
      <c r="D121" s="5" t="inlineStr">
        <is>
          <t>B0</t>
        </is>
      </c>
      <c r="E121" s="5" t="inlineStr">
        <is>
          <t>2nd</t>
        </is>
      </c>
      <c r="F121" s="5" t="inlineStr">
        <is>
          <t>easy1</t>
        </is>
      </c>
      <c r="G121" s="5" t="inlineStr">
        <is>
          <t>easy</t>
        </is>
      </c>
      <c r="H121" s="6" t="n">
        <v>1</v>
      </c>
      <c r="I121" s="6" t="n">
        <v>0</v>
      </c>
      <c r="J121" s="6" t="n">
        <v>0</v>
      </c>
      <c r="K121" s="6" t="n">
        <v>5</v>
      </c>
      <c r="L121" s="6" t="n">
        <v>4</v>
      </c>
      <c r="M121" s="6" t="n">
        <v>2</v>
      </c>
      <c r="N121" s="6" t="inlineStr">
        <is>
          <t>SUCCEEDED</t>
        </is>
      </c>
      <c r="O121" s="7" t="n">
        <v>52.669</v>
      </c>
      <c r="P121" s="7" t="n">
        <v>51.32790493965149</v>
      </c>
      <c r="Q121" s="7" t="n">
        <v>37.56750750541687</v>
      </c>
      <c r="R121" s="7" t="n">
        <v>48.46282172203064</v>
      </c>
      <c r="S121" s="8">
        <f>IF(N121="SUCCEEDED",P121/Q121,"")</f>
        <v/>
      </c>
      <c r="T121" s="8">
        <f>IF(N121="SUCCEEDED",P121/R121,"")</f>
        <v/>
      </c>
      <c r="U121" s="9">
        <f>IF(N121="SUCCEEDED",IF(D121="B0",O121-P121,O121-Q121),"")</f>
        <v/>
      </c>
      <c r="V121" s="7" t="n">
        <v>0.2448537349700928</v>
      </c>
      <c r="W121" s="6" t="n">
        <v>0</v>
      </c>
      <c r="X121" s="7" t="n">
        <v>0</v>
      </c>
      <c r="Y121" s="6" t="n">
        <v>5</v>
      </c>
      <c r="Z121" s="6" t="n">
        <v>0</v>
      </c>
      <c r="AA121" s="6" t="n">
        <v>0</v>
      </c>
      <c r="AB121" s="6" t="n">
        <v>0</v>
      </c>
      <c r="AC121" s="10" t="n">
        <v>2050</v>
      </c>
      <c r="AD121" s="10" t="n">
        <v>2913</v>
      </c>
      <c r="AE121" s="10" t="n">
        <v>2748</v>
      </c>
      <c r="AF121" s="11" t="n">
        <v>0.0443695</v>
      </c>
      <c r="AG121" s="11" t="n">
        <v>0.0003479550681</v>
      </c>
      <c r="AH121" s="11" t="n">
        <v>0.000125</v>
      </c>
      <c r="AI121" s="12">
        <f>AF121+AG121+AH121</f>
        <v/>
      </c>
      <c r="AJ121" s="6" t="n">
        <v>0</v>
      </c>
      <c r="AK121" s="6" t="inlineStr"/>
    </row>
    <row r="122">
      <c r="A122" s="5" t="n">
        <v>2</v>
      </c>
      <c r="B122" s="5" t="n">
        <v>11</v>
      </c>
      <c r="C122" s="5" t="inlineStr">
        <is>
          <t>easy2_49</t>
        </is>
      </c>
      <c r="D122" s="5" t="inlineStr">
        <is>
          <t>B0</t>
        </is>
      </c>
      <c r="E122" s="5" t="inlineStr">
        <is>
          <t>1st</t>
        </is>
      </c>
      <c r="F122" s="5" t="inlineStr">
        <is>
          <t>easy2</t>
        </is>
      </c>
      <c r="G122" s="5" t="inlineStr">
        <is>
          <t>easy</t>
        </is>
      </c>
      <c r="H122" s="6" t="n">
        <v>1</v>
      </c>
      <c r="I122" s="6" t="n">
        <v>0</v>
      </c>
      <c r="J122" s="6" t="n">
        <v>1</v>
      </c>
      <c r="K122" s="6" t="n">
        <v>5</v>
      </c>
      <c r="L122" s="6" t="n">
        <v>4</v>
      </c>
      <c r="M122" s="6" t="n">
        <v>2</v>
      </c>
      <c r="N122" s="6" t="inlineStr">
        <is>
          <t>SUCCEEDED</t>
        </is>
      </c>
      <c r="O122" s="7" t="n">
        <v>162.288</v>
      </c>
      <c r="P122" s="7" t="n">
        <v>160.7925820350647</v>
      </c>
      <c r="Q122" s="7" t="n">
        <v>148.045557975769</v>
      </c>
      <c r="R122" s="7" t="n">
        <v>148.045557975769</v>
      </c>
      <c r="S122" s="8">
        <f>IF(N122="SUCCEEDED",P122/Q122,"")</f>
        <v/>
      </c>
      <c r="T122" s="8">
        <f>IF(N122="SUCCEEDED",P122/R122,"")</f>
        <v/>
      </c>
      <c r="U122" s="9">
        <f>IF(N122="SUCCEEDED",IF(D122="B0",O122-P122,O122-Q122),"")</f>
        <v/>
      </c>
      <c r="V122" s="7" t="n">
        <v>0.2587027549743652</v>
      </c>
      <c r="W122" s="6" t="n">
        <v>0</v>
      </c>
      <c r="X122" s="7" t="n">
        <v>0</v>
      </c>
      <c r="Y122" s="6" t="n">
        <v>5</v>
      </c>
      <c r="Z122" s="6" t="n">
        <v>0</v>
      </c>
      <c r="AA122" s="6" t="n">
        <v>0</v>
      </c>
      <c r="AB122" s="6" t="n">
        <v>0</v>
      </c>
      <c r="AC122" s="10" t="n">
        <v>2781</v>
      </c>
      <c r="AD122" s="10" t="n">
        <v>10620</v>
      </c>
      <c r="AE122" s="10" t="n">
        <v>9900</v>
      </c>
      <c r="AF122" s="11" t="n">
        <v>0.15354675</v>
      </c>
      <c r="AG122" s="11" t="n">
        <v>0.0010784987208</v>
      </c>
      <c r="AH122" s="11" t="n">
        <v>0.000125</v>
      </c>
      <c r="AI122" s="12">
        <f>AF122+AG122+AH122</f>
        <v/>
      </c>
      <c r="AJ122" s="6" t="n">
        <v>1</v>
      </c>
      <c r="AK122" s="6" t="inlineStr">
        <is>
          <t>no</t>
        </is>
      </c>
    </row>
    <row r="123">
      <c r="A123" s="5" t="n">
        <v>2</v>
      </c>
      <c r="B123" s="5" t="n">
        <v>11</v>
      </c>
      <c r="C123" s="5" t="inlineStr">
        <is>
          <t>easy2_49</t>
        </is>
      </c>
      <c r="D123" s="5" t="inlineStr">
        <is>
          <t>A1</t>
        </is>
      </c>
      <c r="E123" s="5" t="inlineStr">
        <is>
          <t>2nd</t>
        </is>
      </c>
      <c r="F123" s="5" t="inlineStr">
        <is>
          <t>easy2</t>
        </is>
      </c>
      <c r="G123" s="5" t="inlineStr">
        <is>
          <t>easy</t>
        </is>
      </c>
      <c r="H123" s="6" t="n">
        <v>1</v>
      </c>
      <c r="I123" s="6" t="n">
        <v>0</v>
      </c>
      <c r="J123" s="6" t="n">
        <v>1</v>
      </c>
      <c r="K123" s="6" t="n">
        <v>5</v>
      </c>
      <c r="L123" s="6" t="n">
        <v>4</v>
      </c>
      <c r="M123" s="6" t="n">
        <v>2</v>
      </c>
      <c r="N123" s="6" t="inlineStr">
        <is>
          <t>SUCCEEDED</t>
        </is>
      </c>
      <c r="O123" s="7" t="n">
        <v>140.643</v>
      </c>
      <c r="P123" s="7" t="n">
        <v>150.3672125339508</v>
      </c>
      <c r="Q123" s="7" t="n">
        <v>139.4874775409698</v>
      </c>
      <c r="R123" s="7" t="n">
        <v>139.4874775409698</v>
      </c>
      <c r="S123" s="8">
        <f>IF(N123="SUCCEEDED",P123/Q123,"")</f>
        <v/>
      </c>
      <c r="T123" s="8">
        <f>IF(N123="SUCCEEDED",P123/R123,"")</f>
        <v/>
      </c>
      <c r="U123" s="9">
        <f>IF(N123="SUCCEEDED",IF(D123="B0",O123-P123,O123-Q123),"")</f>
        <v/>
      </c>
      <c r="V123" s="7" t="n">
        <v>194.1439573764801</v>
      </c>
      <c r="W123" s="6" t="n">
        <v>0</v>
      </c>
      <c r="X123" s="7" t="n">
        <v>0</v>
      </c>
      <c r="Y123" s="6" t="n">
        <v>5</v>
      </c>
      <c r="Z123" s="6" t="n">
        <v>0</v>
      </c>
      <c r="AA123" s="6" t="n">
        <v>0</v>
      </c>
      <c r="AB123" s="6" t="n">
        <v>0</v>
      </c>
      <c r="AC123" s="10" t="n">
        <v>2588</v>
      </c>
      <c r="AD123" s="10" t="n">
        <v>10672</v>
      </c>
      <c r="AE123" s="10" t="n">
        <v>10134</v>
      </c>
      <c r="AF123" s="11" t="n">
        <v>0.153937</v>
      </c>
      <c r="AG123" s="11" t="n">
        <v>0.0023015581694</v>
      </c>
      <c r="AH123" s="11" t="n">
        <v>0.00015</v>
      </c>
      <c r="AI123" s="12">
        <f>AF123+AG123+AH123</f>
        <v/>
      </c>
      <c r="AJ123" s="6" t="n">
        <v>1</v>
      </c>
      <c r="AK123" s="6" t="inlineStr">
        <is>
          <t>no</t>
        </is>
      </c>
    </row>
    <row r="124">
      <c r="A124" s="5" t="n">
        <v>2</v>
      </c>
      <c r="B124" s="5" t="n">
        <v>12</v>
      </c>
      <c r="C124" s="5" t="inlineStr">
        <is>
          <t>hard1_14</t>
        </is>
      </c>
      <c r="D124" s="5" t="inlineStr">
        <is>
          <t>A1</t>
        </is>
      </c>
      <c r="E124" s="5" t="inlineStr">
        <is>
          <t>1st</t>
        </is>
      </c>
      <c r="F124" s="5" t="inlineStr">
        <is>
          <t>hard1</t>
        </is>
      </c>
      <c r="G124" s="5" t="inlineStr">
        <is>
          <t>hard</t>
        </is>
      </c>
      <c r="H124" s="6" t="n">
        <v>0</v>
      </c>
      <c r="I124" s="6" t="n">
        <v>0</v>
      </c>
      <c r="J124" s="6" t="n">
        <v>0</v>
      </c>
      <c r="K124" s="6" t="n">
        <v>16</v>
      </c>
      <c r="L124" s="6" t="n">
        <v>9</v>
      </c>
      <c r="M124" s="6" t="n">
        <v>5</v>
      </c>
      <c r="N124" s="6" t="inlineStr">
        <is>
          <t>SUCCEEDED</t>
        </is>
      </c>
      <c r="O124" s="7" t="n">
        <v>240.076</v>
      </c>
      <c r="P124" s="7" t="n">
        <v>289.9194736480713</v>
      </c>
      <c r="Q124" s="7" t="n">
        <v>238.058093547821</v>
      </c>
      <c r="R124" s="7" t="n">
        <v>255.8071644306183</v>
      </c>
      <c r="S124" s="8">
        <f>IF(N124="SUCCEEDED",P124/Q124,"")</f>
        <v/>
      </c>
      <c r="T124" s="8">
        <f>IF(N124="SUCCEEDED",P124/R124,"")</f>
        <v/>
      </c>
      <c r="U124" s="9">
        <f>IF(N124="SUCCEEDED",IF(D124="B0",O124-P124,O124-Q124),"")</f>
        <v/>
      </c>
      <c r="V124" s="7" t="n">
        <v>671.0185821056366</v>
      </c>
      <c r="W124" s="6" t="n">
        <v>0</v>
      </c>
      <c r="X124" s="7" t="n">
        <v>0</v>
      </c>
      <c r="Y124" s="6" t="n">
        <v>16</v>
      </c>
      <c r="Z124" s="6" t="n">
        <v>0</v>
      </c>
      <c r="AA124" s="6" t="n">
        <v>0</v>
      </c>
      <c r="AB124" s="6" t="n">
        <v>0</v>
      </c>
      <c r="AC124" s="10" t="n">
        <v>10454</v>
      </c>
      <c r="AD124" s="10" t="n">
        <v>19128</v>
      </c>
      <c r="AE124" s="10" t="n">
        <v>18553</v>
      </c>
      <c r="AF124" s="11" t="n">
        <v>0.2860865</v>
      </c>
      <c r="AG124" s="11" t="n">
        <v>0.0064213387572</v>
      </c>
      <c r="AH124" s="11" t="n">
        <v>0.000425</v>
      </c>
      <c r="AI124" s="12">
        <f>AF124+AG124+AH124</f>
        <v/>
      </c>
      <c r="AJ124" s="6" t="n">
        <v>0</v>
      </c>
      <c r="AK124" s="6" t="inlineStr"/>
    </row>
    <row r="125">
      <c r="A125" s="5" t="n">
        <v>2</v>
      </c>
      <c r="B125" s="5" t="n">
        <v>12</v>
      </c>
      <c r="C125" s="5" t="inlineStr">
        <is>
          <t>hard1_14</t>
        </is>
      </c>
      <c r="D125" s="5" t="inlineStr">
        <is>
          <t>B0</t>
        </is>
      </c>
      <c r="E125" s="5" t="inlineStr">
        <is>
          <t>2nd</t>
        </is>
      </c>
      <c r="F125" s="5" t="inlineStr">
        <is>
          <t>hard1</t>
        </is>
      </c>
      <c r="G125" s="5" t="inlineStr">
        <is>
          <t>hard</t>
        </is>
      </c>
      <c r="H125" s="6" t="n">
        <v>0</v>
      </c>
      <c r="I125" s="6" t="n">
        <v>0</v>
      </c>
      <c r="J125" s="6" t="n">
        <v>0</v>
      </c>
      <c r="K125" s="6" t="n">
        <v>16</v>
      </c>
      <c r="L125" s="6" t="n">
        <v>9</v>
      </c>
      <c r="M125" s="6" t="n">
        <v>5</v>
      </c>
      <c r="N125" s="6" t="inlineStr">
        <is>
          <t>SUCCEEDED</t>
        </is>
      </c>
      <c r="O125" s="7" t="n">
        <v>350.336</v>
      </c>
      <c r="P125" s="7" t="n">
        <v>345.1727683544159</v>
      </c>
      <c r="Q125" s="7" t="n">
        <v>264.8864016532898</v>
      </c>
      <c r="R125" s="7" t="n">
        <v>301.0256507396698</v>
      </c>
      <c r="S125" s="8">
        <f>IF(N125="SUCCEEDED",P125/Q125,"")</f>
        <v/>
      </c>
      <c r="T125" s="8">
        <f>IF(N125="SUCCEEDED",P125/R125,"")</f>
        <v/>
      </c>
      <c r="U125" s="9">
        <f>IF(N125="SUCCEEDED",IF(D125="B0",O125-P125,O125-Q125),"")</f>
        <v/>
      </c>
      <c r="V125" s="7" t="n">
        <v>1.544104337692261</v>
      </c>
      <c r="W125" s="6" t="n">
        <v>0</v>
      </c>
      <c r="X125" s="7" t="n">
        <v>0</v>
      </c>
      <c r="Y125" s="6" t="n">
        <v>16</v>
      </c>
      <c r="Z125" s="6" t="n">
        <v>0</v>
      </c>
      <c r="AA125" s="6" t="n">
        <v>0</v>
      </c>
      <c r="AB125" s="6" t="n">
        <v>0</v>
      </c>
      <c r="AC125" s="10" t="n">
        <v>10458</v>
      </c>
      <c r="AD125" s="10" t="n">
        <v>20384</v>
      </c>
      <c r="AE125" s="10" t="n">
        <v>19807</v>
      </c>
      <c r="AF125" s="11" t="n">
        <v>0.3036775</v>
      </c>
      <c r="AG125" s="11" t="n">
        <v>0.0023260382808</v>
      </c>
      <c r="AH125" s="11" t="n">
        <v>0.0004</v>
      </c>
      <c r="AI125" s="12">
        <f>AF125+AG125+AH125</f>
        <v/>
      </c>
      <c r="AJ125" s="6" t="n">
        <v>0</v>
      </c>
      <c r="AK125" s="6" t="inlineStr"/>
    </row>
    <row r="126">
      <c r="A126" s="5" t="n">
        <v>2</v>
      </c>
      <c r="B126" s="5" t="n">
        <v>13</v>
      </c>
      <c r="C126" s="5" t="inlineStr">
        <is>
          <t>med1_6</t>
        </is>
      </c>
      <c r="D126" s="5" t="inlineStr">
        <is>
          <t>B0</t>
        </is>
      </c>
      <c r="E126" s="5" t="inlineStr">
        <is>
          <t>1st</t>
        </is>
      </c>
      <c r="F126" s="5" t="inlineStr">
        <is>
          <t>med1</t>
        </is>
      </c>
      <c r="G126" s="5" t="inlineStr">
        <is>
          <t>medium</t>
        </is>
      </c>
      <c r="H126" s="6" t="n">
        <v>0</v>
      </c>
      <c r="I126" s="6" t="n">
        <v>0</v>
      </c>
      <c r="J126" s="6" t="n">
        <v>0</v>
      </c>
      <c r="K126" s="6" t="n">
        <v>9</v>
      </c>
      <c r="L126" s="6" t="n">
        <v>4</v>
      </c>
      <c r="M126" s="6" t="n">
        <v>5</v>
      </c>
      <c r="N126" s="6" t="inlineStr">
        <is>
          <t>SUCCEEDED</t>
        </is>
      </c>
      <c r="O126" s="7" t="n">
        <v>155.663</v>
      </c>
      <c r="P126" s="7" t="n">
        <v>153.0385484695435</v>
      </c>
      <c r="Q126" s="7" t="n">
        <v>97.53792142868042</v>
      </c>
      <c r="R126" s="7" t="n">
        <v>113.1714470386505</v>
      </c>
      <c r="S126" s="8">
        <f>IF(N126="SUCCEEDED",P126/Q126,"")</f>
        <v/>
      </c>
      <c r="T126" s="8">
        <f>IF(N126="SUCCEEDED",P126/R126,"")</f>
        <v/>
      </c>
      <c r="U126" s="9">
        <f>IF(N126="SUCCEEDED",IF(D126="B0",O126-P126,O126-Q126),"")</f>
        <v/>
      </c>
      <c r="V126" s="7" t="n">
        <v>0.4028868675231934</v>
      </c>
      <c r="W126" s="6" t="n">
        <v>0</v>
      </c>
      <c r="X126" s="7" t="n">
        <v>0</v>
      </c>
      <c r="Y126" s="6" t="n">
        <v>9</v>
      </c>
      <c r="Z126" s="6" t="n">
        <v>0</v>
      </c>
      <c r="AA126" s="6" t="n">
        <v>0</v>
      </c>
      <c r="AB126" s="6" t="n">
        <v>0</v>
      </c>
      <c r="AC126" s="10" t="n">
        <v>3814</v>
      </c>
      <c r="AD126" s="10" t="n">
        <v>10121</v>
      </c>
      <c r="AE126" s="10" t="n">
        <v>9818</v>
      </c>
      <c r="AF126" s="11" t="n">
        <v>0.1483685</v>
      </c>
      <c r="AG126" s="11" t="n">
        <v>0.0010318784837</v>
      </c>
      <c r="AH126" s="11" t="n">
        <v>0.000225</v>
      </c>
      <c r="AI126" s="12">
        <f>AF126+AG126+AH126</f>
        <v/>
      </c>
      <c r="AJ126" s="6" t="n">
        <v>0</v>
      </c>
      <c r="AK126" s="6" t="inlineStr"/>
    </row>
    <row r="127">
      <c r="A127" s="5" t="n">
        <v>2</v>
      </c>
      <c r="B127" s="5" t="n">
        <v>13</v>
      </c>
      <c r="C127" s="5" t="inlineStr">
        <is>
          <t>med1_6</t>
        </is>
      </c>
      <c r="D127" s="5" t="inlineStr">
        <is>
          <t>A1</t>
        </is>
      </c>
      <c r="E127" s="5" t="inlineStr">
        <is>
          <t>2nd</t>
        </is>
      </c>
      <c r="F127" s="5" t="inlineStr">
        <is>
          <t>med1</t>
        </is>
      </c>
      <c r="G127" s="5" t="inlineStr">
        <is>
          <t>medium</t>
        </is>
      </c>
      <c r="H127" s="6" t="n">
        <v>0</v>
      </c>
      <c r="I127" s="6" t="n">
        <v>0</v>
      </c>
      <c r="J127" s="6" t="n">
        <v>0</v>
      </c>
      <c r="K127" s="6" t="n">
        <v>9</v>
      </c>
      <c r="L127" s="6" t="n">
        <v>4</v>
      </c>
      <c r="M127" s="6" t="n">
        <v>5</v>
      </c>
      <c r="N127" s="6" t="inlineStr">
        <is>
          <t>SUCCEEDED</t>
        </is>
      </c>
      <c r="O127" s="7" t="n">
        <v>99.908</v>
      </c>
      <c r="P127" s="7" t="n">
        <v>166.1886034011841</v>
      </c>
      <c r="Q127" s="7" t="n">
        <v>99.12274813652039</v>
      </c>
      <c r="R127" s="7" t="n">
        <v>112.60191655159</v>
      </c>
      <c r="S127" s="8">
        <f>IF(N127="SUCCEEDED",P127/Q127,"")</f>
        <v/>
      </c>
      <c r="T127" s="8">
        <f>IF(N127="SUCCEEDED",P127/R127,"")</f>
        <v/>
      </c>
      <c r="U127" s="9">
        <f>IF(N127="SUCCEEDED",IF(D127="B0",O127-P127,O127-Q127),"")</f>
        <v/>
      </c>
      <c r="V127" s="7" t="n">
        <v>112.9512197971344</v>
      </c>
      <c r="W127" s="6" t="n">
        <v>0</v>
      </c>
      <c r="X127" s="7" t="n">
        <v>0</v>
      </c>
      <c r="Y127" s="6" t="n">
        <v>9</v>
      </c>
      <c r="Z127" s="6" t="n">
        <v>0</v>
      </c>
      <c r="AA127" s="6" t="n">
        <v>0</v>
      </c>
      <c r="AB127" s="6" t="n">
        <v>0</v>
      </c>
      <c r="AC127" s="10" t="n">
        <v>3847</v>
      </c>
      <c r="AD127" s="10" t="n">
        <v>10848</v>
      </c>
      <c r="AE127" s="10" t="n">
        <v>10530</v>
      </c>
      <c r="AF127" s="11" t="n">
        <v>0.15860425</v>
      </c>
      <c r="AG127" s="11" t="n">
        <v>0.0018693226709</v>
      </c>
      <c r="AH127" s="11" t="n">
        <v>0.00025</v>
      </c>
      <c r="AI127" s="12">
        <f>AF127+AG127+AH127</f>
        <v/>
      </c>
      <c r="AJ127" s="6" t="n">
        <v>1</v>
      </c>
      <c r="AK127" s="6" t="inlineStr"/>
    </row>
    <row r="128">
      <c r="A128" s="5" t="n">
        <v>2</v>
      </c>
      <c r="B128" s="5" t="n">
        <v>14</v>
      </c>
      <c r="C128" s="5" t="inlineStr">
        <is>
          <t>easy2_39</t>
        </is>
      </c>
      <c r="D128" s="5" t="inlineStr">
        <is>
          <t>A1</t>
        </is>
      </c>
      <c r="E128" s="5" t="inlineStr">
        <is>
          <t>1st</t>
        </is>
      </c>
      <c r="F128" s="5" t="inlineStr">
        <is>
          <t>easy2</t>
        </is>
      </c>
      <c r="G128" s="5" t="inlineStr">
        <is>
          <t>easy</t>
        </is>
      </c>
      <c r="H128" s="6" t="n">
        <v>1</v>
      </c>
      <c r="I128" s="6" t="n">
        <v>0</v>
      </c>
      <c r="J128" s="6" t="n">
        <v>1</v>
      </c>
      <c r="K128" s="6" t="n">
        <v>5</v>
      </c>
      <c r="L128" s="6" t="n">
        <v>4</v>
      </c>
      <c r="M128" s="6" t="n">
        <v>2</v>
      </c>
      <c r="N128" s="6" t="inlineStr">
        <is>
          <t>SUCCEEDED</t>
        </is>
      </c>
      <c r="O128" s="7" t="n">
        <v>133.031</v>
      </c>
      <c r="P128" s="7" t="n">
        <v>138.0305693149567</v>
      </c>
      <c r="Q128" s="7" t="n">
        <v>131.945038318634</v>
      </c>
      <c r="R128" s="7" t="n">
        <v>131.945038318634</v>
      </c>
      <c r="S128" s="8">
        <f>IF(N128="SUCCEEDED",P128/Q128,"")</f>
        <v/>
      </c>
      <c r="T128" s="8">
        <f>IF(N128="SUCCEEDED",P128/R128,"")</f>
        <v/>
      </c>
      <c r="U128" s="9">
        <f>IF(N128="SUCCEEDED",IF(D128="B0",O128-P128,O128-Q128),"")</f>
        <v/>
      </c>
      <c r="V128" s="7" t="n">
        <v>196.7425904273987</v>
      </c>
      <c r="W128" s="6" t="n">
        <v>0</v>
      </c>
      <c r="X128" s="7" t="n">
        <v>0</v>
      </c>
      <c r="Y128" s="6" t="n">
        <v>5</v>
      </c>
      <c r="Z128" s="6" t="n">
        <v>0</v>
      </c>
      <c r="AA128" s="6" t="n">
        <v>0</v>
      </c>
      <c r="AB128" s="6" t="n">
        <v>0</v>
      </c>
      <c r="AC128" s="10" t="n">
        <v>3258</v>
      </c>
      <c r="AD128" s="10" t="n">
        <v>9754</v>
      </c>
      <c r="AE128" s="10" t="n">
        <v>8644</v>
      </c>
      <c r="AF128" s="11" t="n">
        <v>0.1422575</v>
      </c>
      <c r="AG128" s="11" t="n">
        <v>0.0022368578459</v>
      </c>
      <c r="AH128" s="11" t="n">
        <v>0.00015</v>
      </c>
      <c r="AI128" s="12">
        <f>AF128+AG128+AH128</f>
        <v/>
      </c>
      <c r="AJ128" s="6" t="n">
        <v>0</v>
      </c>
      <c r="AK128" s="6" t="inlineStr">
        <is>
          <t>yes</t>
        </is>
      </c>
    </row>
    <row r="129">
      <c r="A129" s="5" t="n">
        <v>2</v>
      </c>
      <c r="B129" s="5" t="n">
        <v>14</v>
      </c>
      <c r="C129" s="5" t="inlineStr">
        <is>
          <t>easy2_39</t>
        </is>
      </c>
      <c r="D129" s="5" t="inlineStr">
        <is>
          <t>B0</t>
        </is>
      </c>
      <c r="E129" s="5" t="inlineStr">
        <is>
          <t>2nd</t>
        </is>
      </c>
      <c r="F129" s="5" t="inlineStr">
        <is>
          <t>easy2</t>
        </is>
      </c>
      <c r="G129" s="5" t="inlineStr">
        <is>
          <t>easy</t>
        </is>
      </c>
      <c r="H129" s="6" t="n">
        <v>1</v>
      </c>
      <c r="I129" s="6" t="n">
        <v>0</v>
      </c>
      <c r="J129" s="6" t="n">
        <v>1</v>
      </c>
      <c r="K129" s="6" t="n">
        <v>5</v>
      </c>
      <c r="L129" s="6" t="n">
        <v>4</v>
      </c>
      <c r="M129" s="6" t="n">
        <v>2</v>
      </c>
      <c r="N129" s="6" t="inlineStr">
        <is>
          <t>SUCCEEDED</t>
        </is>
      </c>
      <c r="O129" s="7" t="n">
        <v>131.667</v>
      </c>
      <c r="P129" s="7" t="n">
        <v>130.1084549427032</v>
      </c>
      <c r="Q129" s="7" t="n">
        <v>122.6206648349762</v>
      </c>
      <c r="R129" s="7" t="n">
        <v>122.6206648349762</v>
      </c>
      <c r="S129" s="8">
        <f>IF(N129="SUCCEEDED",P129/Q129,"")</f>
        <v/>
      </c>
      <c r="T129" s="8">
        <f>IF(N129="SUCCEEDED",P129/R129,"")</f>
        <v/>
      </c>
      <c r="U129" s="9">
        <f>IF(N129="SUCCEEDED",IF(D129="B0",O129-P129,O129-Q129),"")</f>
        <v/>
      </c>
      <c r="V129" s="7" t="n">
        <v>0.2938172817230225</v>
      </c>
      <c r="W129" s="6" t="n">
        <v>0</v>
      </c>
      <c r="X129" s="7" t="n">
        <v>0</v>
      </c>
      <c r="Y129" s="6" t="n">
        <v>5</v>
      </c>
      <c r="Z129" s="6" t="n">
        <v>0</v>
      </c>
      <c r="AA129" s="6" t="n">
        <v>0</v>
      </c>
      <c r="AB129" s="6" t="n">
        <v>0</v>
      </c>
      <c r="AC129" s="10" t="n">
        <v>3153</v>
      </c>
      <c r="AD129" s="10" t="n">
        <v>8695</v>
      </c>
      <c r="AE129" s="10" t="n">
        <v>7680</v>
      </c>
      <c r="AF129" s="11" t="n">
        <v>0.12724775</v>
      </c>
      <c r="AG129" s="11" t="n">
        <v>0.0008740576986</v>
      </c>
      <c r="AH129" s="11" t="n">
        <v>0.000125</v>
      </c>
      <c r="AI129" s="12">
        <f>AF129+AG129+AH129</f>
        <v/>
      </c>
      <c r="AJ129" s="6" t="n">
        <v>0</v>
      </c>
      <c r="AK129" s="6" t="inlineStr">
        <is>
          <t>yes</t>
        </is>
      </c>
    </row>
    <row r="130">
      <c r="A130" s="5" t="n">
        <v>2</v>
      </c>
      <c r="B130" s="5" t="n">
        <v>15</v>
      </c>
      <c r="C130" s="5" t="inlineStr">
        <is>
          <t>med3_43</t>
        </is>
      </c>
      <c r="D130" s="5" t="inlineStr">
        <is>
          <t>B0</t>
        </is>
      </c>
      <c r="E130" s="5" t="inlineStr">
        <is>
          <t>1st</t>
        </is>
      </c>
      <c r="F130" s="5" t="inlineStr">
        <is>
          <t>med3</t>
        </is>
      </c>
      <c r="G130" s="5" t="inlineStr">
        <is>
          <t>medium</t>
        </is>
      </c>
      <c r="H130" s="6" t="n">
        <v>0</v>
      </c>
      <c r="I130" s="6" t="n">
        <v>1</v>
      </c>
      <c r="J130" s="6" t="n">
        <v>0</v>
      </c>
      <c r="K130" s="6" t="n">
        <v>11</v>
      </c>
      <c r="L130" s="6" t="n">
        <v>6</v>
      </c>
      <c r="M130" s="6" t="n">
        <v>2</v>
      </c>
      <c r="N130" s="6" t="inlineStr">
        <is>
          <t>SUCCEEDED</t>
        </is>
      </c>
      <c r="O130" s="7" t="n">
        <v>290.403</v>
      </c>
      <c r="P130" s="7" t="n">
        <v>287.0783522129059</v>
      </c>
      <c r="Q130" s="7" t="n">
        <v>202.4929945468903</v>
      </c>
      <c r="R130" s="7" t="n">
        <v>206.2641479969025</v>
      </c>
      <c r="S130" s="8">
        <f>IF(N130="SUCCEEDED",P130/Q130,"")</f>
        <v/>
      </c>
      <c r="T130" s="8">
        <f>IF(N130="SUCCEEDED",P130/R130,"")</f>
        <v/>
      </c>
      <c r="U130" s="9">
        <f>IF(N130="SUCCEEDED",IF(D130="B0",O130-P130,O130-Q130),"")</f>
        <v/>
      </c>
      <c r="V130" s="7" t="n">
        <v>0.7151863574981689</v>
      </c>
      <c r="W130" s="6" t="n">
        <v>0</v>
      </c>
      <c r="X130" s="7" t="n">
        <v>0</v>
      </c>
      <c r="Y130" s="6" t="n">
        <v>11</v>
      </c>
      <c r="Z130" s="6" t="n">
        <v>0</v>
      </c>
      <c r="AA130" s="6" t="n">
        <v>0</v>
      </c>
      <c r="AB130" s="6" t="n">
        <v>0</v>
      </c>
      <c r="AC130" s="10" t="n">
        <v>6370</v>
      </c>
      <c r="AD130" s="10" t="n">
        <v>19019</v>
      </c>
      <c r="AE130" s="10" t="n">
        <v>18468</v>
      </c>
      <c r="AF130" s="11" t="n">
        <v>0.2774135</v>
      </c>
      <c r="AG130" s="11" t="n">
        <v>0.001928942967</v>
      </c>
      <c r="AH130" s="11" t="n">
        <v>0.000275</v>
      </c>
      <c r="AI130" s="12">
        <f>AF130+AG130+AH130</f>
        <v/>
      </c>
      <c r="AJ130" s="6" t="n">
        <v>1</v>
      </c>
      <c r="AK130" s="6" t="inlineStr"/>
    </row>
    <row r="131">
      <c r="A131" s="5" t="n">
        <v>2</v>
      </c>
      <c r="B131" s="5" t="n">
        <v>15</v>
      </c>
      <c r="C131" s="5" t="inlineStr">
        <is>
          <t>med3_43</t>
        </is>
      </c>
      <c r="D131" s="5" t="inlineStr">
        <is>
          <t>A1</t>
        </is>
      </c>
      <c r="E131" s="5" t="inlineStr">
        <is>
          <t>2nd</t>
        </is>
      </c>
      <c r="F131" s="5" t="inlineStr">
        <is>
          <t>med3</t>
        </is>
      </c>
      <c r="G131" s="5" t="inlineStr">
        <is>
          <t>medium</t>
        </is>
      </c>
      <c r="H131" s="6" t="n">
        <v>0</v>
      </c>
      <c r="I131" s="6" t="n">
        <v>1</v>
      </c>
      <c r="J131" s="6" t="n">
        <v>0</v>
      </c>
      <c r="K131" s="6" t="n">
        <v>11</v>
      </c>
      <c r="L131" s="6" t="n">
        <v>6</v>
      </c>
      <c r="M131" s="6" t="n">
        <v>2</v>
      </c>
      <c r="N131" s="6" t="inlineStr">
        <is>
          <t>SUCCEEDED</t>
        </is>
      </c>
      <c r="O131" s="7" t="n">
        <v>167.719</v>
      </c>
      <c r="P131" s="7" t="n">
        <v>277.7040657997131</v>
      </c>
      <c r="Q131" s="7" t="n">
        <v>166.2325396537781</v>
      </c>
      <c r="R131" s="7" t="n">
        <v>175.226870059967</v>
      </c>
      <c r="S131" s="8">
        <f>IF(N131="SUCCEEDED",P131/Q131,"")</f>
        <v/>
      </c>
      <c r="T131" s="8">
        <f>IF(N131="SUCCEEDED",P131/R131,"")</f>
        <v/>
      </c>
      <c r="U131" s="9">
        <f>IF(N131="SUCCEEDED",IF(D131="B0",O131-P131,O131-Q131),"")</f>
        <v/>
      </c>
      <c r="V131" s="7" t="n">
        <v>627.8217930793762</v>
      </c>
      <c r="W131" s="6" t="n">
        <v>0</v>
      </c>
      <c r="X131" s="7" t="n">
        <v>0</v>
      </c>
      <c r="Y131" s="6" t="n">
        <v>11</v>
      </c>
      <c r="Z131" s="6" t="n">
        <v>0</v>
      </c>
      <c r="AA131" s="6" t="n">
        <v>0</v>
      </c>
      <c r="AB131" s="6" t="n">
        <v>0</v>
      </c>
      <c r="AC131" s="10" t="n">
        <v>6369</v>
      </c>
      <c r="AD131" s="10" t="n">
        <v>16288</v>
      </c>
      <c r="AE131" s="10" t="n">
        <v>15764</v>
      </c>
      <c r="AF131" s="11" t="n">
        <v>0.23917775</v>
      </c>
      <c r="AG131" s="11" t="n">
        <v>0.0060469768904</v>
      </c>
      <c r="AH131" s="11" t="n">
        <v>0.0003</v>
      </c>
      <c r="AI131" s="12">
        <f>AF131+AG131+AH131</f>
        <v/>
      </c>
      <c r="AJ131" s="6" t="n">
        <v>0</v>
      </c>
      <c r="AK131" s="6" t="inlineStr"/>
    </row>
    <row r="132">
      <c r="A132" s="5" t="n">
        <v>2</v>
      </c>
      <c r="B132" s="5" t="n">
        <v>16</v>
      </c>
      <c r="C132" s="5" t="inlineStr">
        <is>
          <t>easy2_4</t>
        </is>
      </c>
      <c r="D132" s="5" t="inlineStr">
        <is>
          <t>A1</t>
        </is>
      </c>
      <c r="E132" s="5" t="inlineStr">
        <is>
          <t>1st</t>
        </is>
      </c>
      <c r="F132" s="5" t="inlineStr">
        <is>
          <t>easy2</t>
        </is>
      </c>
      <c r="G132" s="5" t="inlineStr">
        <is>
          <t>easy</t>
        </is>
      </c>
      <c r="H132" s="6" t="n">
        <v>1</v>
      </c>
      <c r="I132" s="6" t="n">
        <v>0</v>
      </c>
      <c r="J132" s="6" t="n">
        <v>1</v>
      </c>
      <c r="K132" s="6" t="n">
        <v>5</v>
      </c>
      <c r="L132" s="6" t="n">
        <v>4</v>
      </c>
      <c r="M132" s="6" t="n">
        <v>2</v>
      </c>
      <c r="N132" s="6" t="inlineStr">
        <is>
          <t>SUCCEEDED</t>
        </is>
      </c>
      <c r="O132" s="7" t="n">
        <v>71.06399999999999</v>
      </c>
      <c r="P132" s="7" t="n">
        <v>75.37120485305786</v>
      </c>
      <c r="Q132" s="7" t="n">
        <v>70.07893657684326</v>
      </c>
      <c r="R132" s="7" t="n">
        <v>70.07893657684326</v>
      </c>
      <c r="S132" s="8">
        <f>IF(N132="SUCCEEDED",P132/Q132,"")</f>
        <v/>
      </c>
      <c r="T132" s="8">
        <f>IF(N132="SUCCEEDED",P132/R132,"")</f>
        <v/>
      </c>
      <c r="U132" s="9">
        <f>IF(N132="SUCCEEDED",IF(D132="B0",O132-P132,O132-Q132),"")</f>
        <v/>
      </c>
      <c r="V132" s="7" t="n">
        <v>117.5294225215912</v>
      </c>
      <c r="W132" s="6" t="n">
        <v>0</v>
      </c>
      <c r="X132" s="7" t="n">
        <v>0</v>
      </c>
      <c r="Y132" s="6" t="n">
        <v>5</v>
      </c>
      <c r="Z132" s="6" t="n">
        <v>0</v>
      </c>
      <c r="AA132" s="6" t="n">
        <v>0</v>
      </c>
      <c r="AB132" s="6" t="n">
        <v>0</v>
      </c>
      <c r="AC132" s="10" t="n">
        <v>2833</v>
      </c>
      <c r="AD132" s="10" t="n">
        <v>5002</v>
      </c>
      <c r="AE132" s="10" t="n">
        <v>4363</v>
      </c>
      <c r="AF132" s="11" t="n">
        <v>0.07498575</v>
      </c>
      <c r="AG132" s="11" t="n">
        <v>0.0012907664488</v>
      </c>
      <c r="AH132" s="11" t="n">
        <v>0.00015</v>
      </c>
      <c r="AI132" s="12">
        <f>AF132+AG132+AH132</f>
        <v/>
      </c>
      <c r="AJ132" s="6" t="n">
        <v>1</v>
      </c>
      <c r="AK132" s="6" t="inlineStr">
        <is>
          <t>no</t>
        </is>
      </c>
    </row>
    <row r="133">
      <c r="A133" s="5" t="n">
        <v>2</v>
      </c>
      <c r="B133" s="5" t="n">
        <v>16</v>
      </c>
      <c r="C133" s="5" t="inlineStr">
        <is>
          <t>easy2_4</t>
        </is>
      </c>
      <c r="D133" s="5" t="inlineStr">
        <is>
          <t>B0</t>
        </is>
      </c>
      <c r="E133" s="5" t="inlineStr">
        <is>
          <t>2nd</t>
        </is>
      </c>
      <c r="F133" s="5" t="inlineStr">
        <is>
          <t>easy2</t>
        </is>
      </c>
      <c r="G133" s="5" t="inlineStr">
        <is>
          <t>easy</t>
        </is>
      </c>
      <c r="H133" s="6" t="n">
        <v>1</v>
      </c>
      <c r="I133" s="6" t="n">
        <v>0</v>
      </c>
      <c r="J133" s="6" t="n">
        <v>1</v>
      </c>
      <c r="K133" s="6" t="n">
        <v>5</v>
      </c>
      <c r="L133" s="6" t="n">
        <v>4</v>
      </c>
      <c r="M133" s="6" t="n">
        <v>2</v>
      </c>
      <c r="N133" s="6" t="inlineStr">
        <is>
          <t>SUCCEEDED</t>
        </is>
      </c>
      <c r="O133" s="7" t="n">
        <v>68.84999999999999</v>
      </c>
      <c r="P133" s="7" t="n">
        <v>67.55782604217529</v>
      </c>
      <c r="Q133" s="7" t="n">
        <v>59.64322805404663</v>
      </c>
      <c r="R133" s="7" t="n">
        <v>59.64322805404663</v>
      </c>
      <c r="S133" s="8">
        <f>IF(N133="SUCCEEDED",P133/Q133,"")</f>
        <v/>
      </c>
      <c r="T133" s="8">
        <f>IF(N133="SUCCEEDED",P133/R133,"")</f>
        <v/>
      </c>
      <c r="U133" s="9">
        <f>IF(N133="SUCCEEDED",IF(D133="B0",O133-P133,O133-Q133),"")</f>
        <v/>
      </c>
      <c r="V133" s="7" t="n">
        <v>0.2080807685852051</v>
      </c>
      <c r="W133" s="6" t="n">
        <v>0</v>
      </c>
      <c r="X133" s="7" t="n">
        <v>0</v>
      </c>
      <c r="Y133" s="6" t="n">
        <v>5</v>
      </c>
      <c r="Z133" s="6" t="n">
        <v>0</v>
      </c>
      <c r="AA133" s="6" t="n">
        <v>0</v>
      </c>
      <c r="AB133" s="6" t="n">
        <v>0</v>
      </c>
      <c r="AC133" s="10" t="n">
        <v>2480</v>
      </c>
      <c r="AD133" s="10" t="n">
        <v>4526</v>
      </c>
      <c r="AE133" s="10" t="n">
        <v>4234</v>
      </c>
      <c r="AF133" s="11" t="n">
        <v>0.067704</v>
      </c>
      <c r="AG133" s="11" t="n">
        <v>0.0004561556091</v>
      </c>
      <c r="AH133" s="11" t="n">
        <v>0.000125</v>
      </c>
      <c r="AI133" s="12">
        <f>AF133+AG133+AH133</f>
        <v/>
      </c>
      <c r="AJ133" s="6" t="n">
        <v>0</v>
      </c>
      <c r="AK133" s="6" t="inlineStr">
        <is>
          <t>no</t>
        </is>
      </c>
    </row>
    <row r="134">
      <c r="A134" s="5" t="n">
        <v>2</v>
      </c>
      <c r="B134" s="5" t="n">
        <v>17</v>
      </c>
      <c r="C134" s="5" t="inlineStr">
        <is>
          <t>hard1_6</t>
        </is>
      </c>
      <c r="D134" s="5" t="inlineStr">
        <is>
          <t>B0</t>
        </is>
      </c>
      <c r="E134" s="5" t="inlineStr">
        <is>
          <t>1st</t>
        </is>
      </c>
      <c r="F134" s="5" t="inlineStr">
        <is>
          <t>hard1</t>
        </is>
      </c>
      <c r="G134" s="5" t="inlineStr">
        <is>
          <t>hard</t>
        </is>
      </c>
      <c r="H134" s="6" t="n">
        <v>0</v>
      </c>
      <c r="I134" s="6" t="n">
        <v>0</v>
      </c>
      <c r="J134" s="6" t="n">
        <v>0</v>
      </c>
      <c r="K134" s="6" t="n">
        <v>16</v>
      </c>
      <c r="L134" s="6" t="n">
        <v>9</v>
      </c>
      <c r="M134" s="6" t="n">
        <v>5</v>
      </c>
      <c r="N134" s="6" t="inlineStr">
        <is>
          <t>SUCCEEDED</t>
        </is>
      </c>
      <c r="O134" s="7" t="n">
        <v>307.2</v>
      </c>
      <c r="P134" s="7" t="n">
        <v>302.5492630004883</v>
      </c>
      <c r="Q134" s="7" t="n">
        <v>258.6062655448914</v>
      </c>
      <c r="R134" s="7" t="n">
        <v>265.9105367660522</v>
      </c>
      <c r="S134" s="8">
        <f>IF(N134="SUCCEEDED",P134/Q134,"")</f>
        <v/>
      </c>
      <c r="T134" s="8">
        <f>IF(N134="SUCCEEDED",P134/R134,"")</f>
        <v/>
      </c>
      <c r="U134" s="9">
        <f>IF(N134="SUCCEEDED",IF(D134="B0",O134-P134,O134-Q134),"")</f>
        <v/>
      </c>
      <c r="V134" s="7" t="n">
        <v>1.145228147506714</v>
      </c>
      <c r="W134" s="6" t="n">
        <v>0</v>
      </c>
      <c r="X134" s="7" t="n">
        <v>0</v>
      </c>
      <c r="Y134" s="6" t="n">
        <v>16</v>
      </c>
      <c r="Z134" s="6" t="n">
        <v>0</v>
      </c>
      <c r="AA134" s="6" t="n">
        <v>0</v>
      </c>
      <c r="AB134" s="6" t="n">
        <v>0</v>
      </c>
      <c r="AC134" s="10" t="n">
        <v>9066</v>
      </c>
      <c r="AD134" s="10" t="n">
        <v>18919</v>
      </c>
      <c r="AE134" s="10" t="n">
        <v>18381</v>
      </c>
      <c r="AF134" s="11" t="n">
        <v>0.2807315</v>
      </c>
      <c r="AG134" s="11" t="n">
        <v>0.0020393901809</v>
      </c>
      <c r="AH134" s="11" t="n">
        <v>0.0004</v>
      </c>
      <c r="AI134" s="12">
        <f>AF134+AG134+AH134</f>
        <v/>
      </c>
      <c r="AJ134" s="6" t="n">
        <v>0</v>
      </c>
      <c r="AK134" s="6" t="inlineStr"/>
    </row>
    <row r="135">
      <c r="A135" s="5" t="n">
        <v>2</v>
      </c>
      <c r="B135" s="5" t="n">
        <v>17</v>
      </c>
      <c r="C135" s="5" t="inlineStr">
        <is>
          <t>hard1_6</t>
        </is>
      </c>
      <c r="D135" s="5" t="inlineStr">
        <is>
          <t>A1</t>
        </is>
      </c>
      <c r="E135" s="5" t="inlineStr">
        <is>
          <t>2nd</t>
        </is>
      </c>
      <c r="F135" s="5" t="inlineStr">
        <is>
          <t>hard1</t>
        </is>
      </c>
      <c r="G135" s="5" t="inlineStr">
        <is>
          <t>hard</t>
        </is>
      </c>
      <c r="H135" s="6" t="n">
        <v>0</v>
      </c>
      <c r="I135" s="6" t="n">
        <v>0</v>
      </c>
      <c r="J135" s="6" t="n">
        <v>0</v>
      </c>
      <c r="K135" s="6" t="n">
        <v>16</v>
      </c>
      <c r="L135" s="6" t="n">
        <v>9</v>
      </c>
      <c r="M135" s="6" t="n">
        <v>5</v>
      </c>
      <c r="N135" s="6" t="inlineStr">
        <is>
          <t>SUCCEEDED</t>
        </is>
      </c>
      <c r="O135" s="7" t="n">
        <v>236.379</v>
      </c>
      <c r="P135" s="7" t="n">
        <v>275.6585664749146</v>
      </c>
      <c r="Q135" s="7" t="n">
        <v>234.190819978714</v>
      </c>
      <c r="R135" s="7" t="n">
        <v>246.0941476821899</v>
      </c>
      <c r="S135" s="8">
        <f>IF(N135="SUCCEEDED",P135/Q135,"")</f>
        <v/>
      </c>
      <c r="T135" s="8">
        <f>IF(N135="SUCCEEDED",P135/R135,"")</f>
        <v/>
      </c>
      <c r="U135" s="9">
        <f>IF(N135="SUCCEEDED",IF(D135="B0",O135-P135,O135-Q135),"")</f>
        <v/>
      </c>
      <c r="V135" s="7" t="n">
        <v>744.2911167144775</v>
      </c>
      <c r="W135" s="6" t="n">
        <v>0</v>
      </c>
      <c r="X135" s="7" t="n">
        <v>0</v>
      </c>
      <c r="Y135" s="6" t="n">
        <v>16</v>
      </c>
      <c r="Z135" s="6" t="n">
        <v>0</v>
      </c>
      <c r="AA135" s="6" t="n">
        <v>0</v>
      </c>
      <c r="AB135" s="6" t="n">
        <v>0</v>
      </c>
      <c r="AC135" s="10" t="n">
        <v>9209</v>
      </c>
      <c r="AD135" s="10" t="n">
        <v>19678</v>
      </c>
      <c r="AE135" s="10" t="n">
        <v>19037</v>
      </c>
      <c r="AF135" s="11" t="n">
        <v>0.29160775</v>
      </c>
      <c r="AG135" s="11" t="n">
        <v>0.0068135540516</v>
      </c>
      <c r="AH135" s="11" t="n">
        <v>0.000425</v>
      </c>
      <c r="AI135" s="12">
        <f>AF135+AG135+AH135</f>
        <v/>
      </c>
      <c r="AJ135" s="6" t="n">
        <v>0</v>
      </c>
      <c r="AK135" s="6" t="inlineStr"/>
    </row>
    <row r="136">
      <c r="A136" s="5" t="n">
        <v>2</v>
      </c>
      <c r="B136" s="5" t="n">
        <v>18</v>
      </c>
      <c r="C136" s="5" t="inlineStr">
        <is>
          <t>hard2_43</t>
        </is>
      </c>
      <c r="D136" s="5" t="inlineStr">
        <is>
          <t>A1</t>
        </is>
      </c>
      <c r="E136" s="5" t="inlineStr">
        <is>
          <t>1st</t>
        </is>
      </c>
      <c r="F136" s="5" t="inlineStr">
        <is>
          <t>hard2</t>
        </is>
      </c>
      <c r="G136" s="5" t="inlineStr">
        <is>
          <t>hard</t>
        </is>
      </c>
      <c r="H136" s="6" t="n">
        <v>0</v>
      </c>
      <c r="I136" s="6" t="n">
        <v>0</v>
      </c>
      <c r="J136" s="6" t="n">
        <v>0</v>
      </c>
      <c r="K136" s="6" t="n">
        <v>16</v>
      </c>
      <c r="L136" s="6" t="n">
        <v>10</v>
      </c>
      <c r="M136" s="6" t="n">
        <v>5</v>
      </c>
      <c r="N136" s="6" t="inlineStr">
        <is>
          <t>SUCCEEDED</t>
        </is>
      </c>
      <c r="O136" s="7" t="n">
        <v>361.606</v>
      </c>
      <c r="P136" s="7" t="n">
        <v>419.5659656524658</v>
      </c>
      <c r="Q136" s="7" t="n">
        <v>359.5642011165619</v>
      </c>
      <c r="R136" s="7" t="n">
        <v>366.2590985298157</v>
      </c>
      <c r="S136" s="8">
        <f>IF(N136="SUCCEEDED",P136/Q136,"")</f>
        <v/>
      </c>
      <c r="T136" s="8">
        <f>IF(N136="SUCCEEDED",P136/R136,"")</f>
        <v/>
      </c>
      <c r="U136" s="9">
        <f>IF(N136="SUCCEEDED",IF(D136="B0",O136-P136,O136-Q136),"")</f>
        <v/>
      </c>
      <c r="V136" s="7" t="n">
        <v>937.5101640224457</v>
      </c>
      <c r="W136" s="6" t="n">
        <v>0</v>
      </c>
      <c r="X136" s="7" t="n">
        <v>0</v>
      </c>
      <c r="Y136" s="6" t="n">
        <v>16</v>
      </c>
      <c r="Z136" s="6" t="n">
        <v>0</v>
      </c>
      <c r="AA136" s="6" t="n">
        <v>0</v>
      </c>
      <c r="AB136" s="6" t="n">
        <v>0</v>
      </c>
      <c r="AC136" s="10" t="n">
        <v>8617</v>
      </c>
      <c r="AD136" s="10" t="n">
        <v>29959</v>
      </c>
      <c r="AE136" s="10" t="n">
        <v>29239</v>
      </c>
      <c r="AF136" s="11" t="n">
        <v>0.43450575</v>
      </c>
      <c r="AG136" s="11" t="n">
        <v>0.0090619519602</v>
      </c>
      <c r="AH136" s="11" t="n">
        <v>0.000425</v>
      </c>
      <c r="AI136" s="12">
        <f>AF136+AG136+AH136</f>
        <v/>
      </c>
      <c r="AJ136" s="6" t="n">
        <v>0</v>
      </c>
      <c r="AK136" s="6" t="inlineStr"/>
    </row>
    <row r="137">
      <c r="A137" s="5" t="n">
        <v>2</v>
      </c>
      <c r="B137" s="5" t="n">
        <v>18</v>
      </c>
      <c r="C137" s="5" t="inlineStr">
        <is>
          <t>hard2_43</t>
        </is>
      </c>
      <c r="D137" s="5" t="inlineStr">
        <is>
          <t>B0</t>
        </is>
      </c>
      <c r="E137" s="5" t="inlineStr">
        <is>
          <t>2nd</t>
        </is>
      </c>
      <c r="F137" s="5" t="inlineStr">
        <is>
          <t>hard2</t>
        </is>
      </c>
      <c r="G137" s="5" t="inlineStr">
        <is>
          <t>hard</t>
        </is>
      </c>
      <c r="H137" s="6" t="n">
        <v>0</v>
      </c>
      <c r="I137" s="6" t="n">
        <v>0</v>
      </c>
      <c r="J137" s="6" t="n">
        <v>0</v>
      </c>
      <c r="K137" s="6" t="n">
        <v>16</v>
      </c>
      <c r="L137" s="6" t="n">
        <v>10</v>
      </c>
      <c r="M137" s="6" t="n">
        <v>5</v>
      </c>
      <c r="N137" s="6" t="inlineStr">
        <is>
          <t>SUCCEEDED</t>
        </is>
      </c>
      <c r="O137" s="7" t="n">
        <v>333.338</v>
      </c>
      <c r="P137" s="7" t="n">
        <v>328.5688805580139</v>
      </c>
      <c r="Q137" s="7" t="n">
        <v>281.4729795455933</v>
      </c>
      <c r="R137" s="7" t="n">
        <v>283.6541557312012</v>
      </c>
      <c r="S137" s="8">
        <f>IF(N137="SUCCEEDED",P137/Q137,"")</f>
        <v/>
      </c>
      <c r="T137" s="8">
        <f>IF(N137="SUCCEEDED",P137/R137,"")</f>
        <v/>
      </c>
      <c r="U137" s="9">
        <f>IF(N137="SUCCEEDED",IF(D137="B0",O137-P137,O137-Q137),"")</f>
        <v/>
      </c>
      <c r="V137" s="7" t="n">
        <v>1.086209774017334</v>
      </c>
      <c r="W137" s="6" t="n">
        <v>0</v>
      </c>
      <c r="X137" s="7" t="n">
        <v>0</v>
      </c>
      <c r="Y137" s="6" t="n">
        <v>16</v>
      </c>
      <c r="Z137" s="6" t="n">
        <v>0</v>
      </c>
      <c r="AA137" s="6" t="n">
        <v>0</v>
      </c>
      <c r="AB137" s="6" t="n">
        <v>0</v>
      </c>
      <c r="AC137" s="10" t="n">
        <v>8725</v>
      </c>
      <c r="AD137" s="10" t="n">
        <v>27067</v>
      </c>
      <c r="AE137" s="10" t="n">
        <v>26294</v>
      </c>
      <c r="AF137" s="11" t="n">
        <v>0.39420675</v>
      </c>
      <c r="AG137" s="11" t="n">
        <v>0.0022123710458</v>
      </c>
      <c r="AH137" s="11" t="n">
        <v>0.0004</v>
      </c>
      <c r="AI137" s="12">
        <f>AF137+AG137+AH137</f>
        <v/>
      </c>
      <c r="AJ137" s="6" t="n">
        <v>0</v>
      </c>
      <c r="AK137" s="6" t="inlineStr"/>
    </row>
    <row r="138">
      <c r="A138" s="5" t="n">
        <v>2</v>
      </c>
      <c r="B138" s="5" t="n">
        <v>19</v>
      </c>
      <c r="C138" s="5" t="inlineStr">
        <is>
          <t>hard3_16</t>
        </is>
      </c>
      <c r="D138" s="5" t="inlineStr">
        <is>
          <t>B0</t>
        </is>
      </c>
      <c r="E138" s="5" t="inlineStr">
        <is>
          <t>1st</t>
        </is>
      </c>
      <c r="F138" s="5" t="inlineStr">
        <is>
          <t>hard3</t>
        </is>
      </c>
      <c r="G138" s="5" t="inlineStr">
        <is>
          <t>hard</t>
        </is>
      </c>
      <c r="H138" s="6" t="n">
        <v>0</v>
      </c>
      <c r="I138" s="6" t="n">
        <v>0</v>
      </c>
      <c r="J138" s="6" t="n">
        <v>0</v>
      </c>
      <c r="K138" s="6" t="n">
        <v>15</v>
      </c>
      <c r="L138" s="6" t="n">
        <v>9</v>
      </c>
      <c r="M138" s="6" t="n">
        <v>4</v>
      </c>
      <c r="N138" s="6" t="inlineStr">
        <is>
          <t>SUCCEEDED</t>
        </is>
      </c>
      <c r="O138" s="7" t="n">
        <v>294.089</v>
      </c>
      <c r="P138" s="7" t="n">
        <v>289.5920219421387</v>
      </c>
      <c r="Q138" s="7" t="n">
        <v>212.1257357597351</v>
      </c>
      <c r="R138" s="7" t="n">
        <v>226.1355793476105</v>
      </c>
      <c r="S138" s="8">
        <f>IF(N138="SUCCEEDED",P138/Q138,"")</f>
        <v/>
      </c>
      <c r="T138" s="8">
        <f>IF(N138="SUCCEEDED",P138/R138,"")</f>
        <v/>
      </c>
      <c r="U138" s="9">
        <f>IF(N138="SUCCEEDED",IF(D138="B0",O138-P138,O138-Q138),"")</f>
        <v/>
      </c>
      <c r="V138" s="7" t="n">
        <v>1.054646968841553</v>
      </c>
      <c r="W138" s="6" t="n">
        <v>0</v>
      </c>
      <c r="X138" s="7" t="n">
        <v>0</v>
      </c>
      <c r="Y138" s="6" t="n">
        <v>15</v>
      </c>
      <c r="Z138" s="6" t="n">
        <v>0</v>
      </c>
      <c r="AA138" s="6" t="n">
        <v>0</v>
      </c>
      <c r="AB138" s="6" t="n">
        <v>0</v>
      </c>
      <c r="AC138" s="10" t="n">
        <v>8600</v>
      </c>
      <c r="AD138" s="10" t="n">
        <v>17420</v>
      </c>
      <c r="AE138" s="10" t="n">
        <v>16718</v>
      </c>
      <c r="AF138" s="11" t="n">
        <v>0.25893</v>
      </c>
      <c r="AG138" s="11" t="n">
        <v>0.0019513697418</v>
      </c>
      <c r="AH138" s="11" t="n">
        <v>0.000375</v>
      </c>
      <c r="AI138" s="12">
        <f>AF138+AG138+AH138</f>
        <v/>
      </c>
      <c r="AJ138" s="6" t="n">
        <v>0</v>
      </c>
      <c r="AK138" s="6" t="inlineStr"/>
    </row>
    <row r="139">
      <c r="A139" s="5" t="n">
        <v>2</v>
      </c>
      <c r="B139" s="5" t="n">
        <v>19</v>
      </c>
      <c r="C139" s="5" t="inlineStr">
        <is>
          <t>hard3_16</t>
        </is>
      </c>
      <c r="D139" s="5" t="inlineStr">
        <is>
          <t>A1</t>
        </is>
      </c>
      <c r="E139" s="5" t="inlineStr">
        <is>
          <t>2nd</t>
        </is>
      </c>
      <c r="F139" s="5" t="inlineStr">
        <is>
          <t>hard3</t>
        </is>
      </c>
      <c r="G139" s="5" t="inlineStr">
        <is>
          <t>hard</t>
        </is>
      </c>
      <c r="H139" s="6" t="n">
        <v>0</v>
      </c>
      <c r="I139" s="6" t="n">
        <v>0</v>
      </c>
      <c r="J139" s="6" t="n">
        <v>0</v>
      </c>
      <c r="K139" s="6" t="n">
        <v>15</v>
      </c>
      <c r="L139" s="6" t="n">
        <v>9</v>
      </c>
      <c r="M139" s="6" t="n">
        <v>4</v>
      </c>
      <c r="N139" s="6" t="inlineStr">
        <is>
          <t>SUCCEEDED</t>
        </is>
      </c>
      <c r="O139" s="7" t="n">
        <v>348.068</v>
      </c>
      <c r="P139" s="7" t="n">
        <v>440.7536993026733</v>
      </c>
      <c r="Q139" s="7" t="n">
        <v>346.5830514431</v>
      </c>
      <c r="R139" s="7" t="n">
        <v>384.565737247467</v>
      </c>
      <c r="S139" s="8">
        <f>IF(N139="SUCCEEDED",P139/Q139,"")</f>
        <v/>
      </c>
      <c r="T139" s="8">
        <f>IF(N139="SUCCEEDED",P139/R139,"")</f>
        <v/>
      </c>
      <c r="U139" s="9">
        <f>IF(N139="SUCCEEDED",IF(D139="B0",O139-P139,O139-Q139),"")</f>
        <v/>
      </c>
      <c r="V139" s="7" t="n">
        <v>1272.097821474075</v>
      </c>
      <c r="W139" s="6" t="n">
        <v>0</v>
      </c>
      <c r="X139" s="7" t="n">
        <v>0</v>
      </c>
      <c r="Y139" s="6" t="n">
        <v>15</v>
      </c>
      <c r="Z139" s="6" t="n">
        <v>0</v>
      </c>
      <c r="AA139" s="6" t="n">
        <v>0</v>
      </c>
      <c r="AB139" s="6" t="n">
        <v>0</v>
      </c>
      <c r="AC139" s="10" t="n">
        <v>8639</v>
      </c>
      <c r="AD139" s="10" t="n">
        <v>30013</v>
      </c>
      <c r="AE139" s="10" t="n">
        <v>29291</v>
      </c>
      <c r="AF139" s="11" t="n">
        <v>0.4353002500000001</v>
      </c>
      <c r="AG139" s="11" t="n">
        <v>0.0114327104816</v>
      </c>
      <c r="AH139" s="11" t="n">
        <v>0.0004</v>
      </c>
      <c r="AI139" s="12">
        <f>AF139+AG139+AH139</f>
        <v/>
      </c>
      <c r="AJ139" s="6" t="n">
        <v>0</v>
      </c>
      <c r="AK139" s="6" t="inlineStr"/>
    </row>
    <row r="140">
      <c r="A140" s="5" t="n">
        <v>2</v>
      </c>
      <c r="B140" s="5" t="n">
        <v>20</v>
      </c>
      <c r="C140" s="5" t="inlineStr">
        <is>
          <t>med2_24</t>
        </is>
      </c>
      <c r="D140" s="5" t="inlineStr">
        <is>
          <t>A1</t>
        </is>
      </c>
      <c r="E140" s="5" t="inlineStr">
        <is>
          <t>1st</t>
        </is>
      </c>
      <c r="F140" s="5" t="inlineStr">
        <is>
          <t>med2</t>
        </is>
      </c>
      <c r="G140" s="5" t="inlineStr">
        <is>
          <t>medium</t>
        </is>
      </c>
      <c r="H140" s="6" t="n">
        <v>0</v>
      </c>
      <c r="I140" s="6" t="n">
        <v>0</v>
      </c>
      <c r="J140" s="6" t="n">
        <v>0</v>
      </c>
      <c r="K140" s="6" t="n">
        <v>9</v>
      </c>
      <c r="L140" s="6" t="n">
        <v>4</v>
      </c>
      <c r="M140" s="6" t="n">
        <v>5</v>
      </c>
      <c r="N140" s="6" t="inlineStr">
        <is>
          <t>SUCCEEDED</t>
        </is>
      </c>
      <c r="O140" s="7" t="n">
        <v>85.107</v>
      </c>
      <c r="P140" s="7" t="n">
        <v>154.4698340892792</v>
      </c>
      <c r="Q140" s="7" t="n">
        <v>84.34451079368591</v>
      </c>
      <c r="R140" s="7" t="n">
        <v>91.29266166687012</v>
      </c>
      <c r="S140" s="8">
        <f>IF(N140="SUCCEEDED",P140/Q140,"")</f>
        <v/>
      </c>
      <c r="T140" s="8">
        <f>IF(N140="SUCCEEDED",P140/R140,"")</f>
        <v/>
      </c>
      <c r="U140" s="9">
        <f>IF(N140="SUCCEEDED",IF(D140="B0",O140-P140,O140-Q140),"")</f>
        <v/>
      </c>
      <c r="V140" s="7" t="n">
        <v>120.0632967948914</v>
      </c>
      <c r="W140" s="6" t="n">
        <v>0</v>
      </c>
      <c r="X140" s="7" t="n">
        <v>0</v>
      </c>
      <c r="Y140" s="6" t="n">
        <v>9</v>
      </c>
      <c r="Z140" s="6" t="n">
        <v>0</v>
      </c>
      <c r="AA140" s="6" t="n">
        <v>0</v>
      </c>
      <c r="AB140" s="6" t="n">
        <v>0</v>
      </c>
      <c r="AC140" s="10" t="n">
        <v>3743</v>
      </c>
      <c r="AD140" s="10" t="n">
        <v>7930</v>
      </c>
      <c r="AE140" s="10" t="n">
        <v>7618</v>
      </c>
      <c r="AF140" s="11" t="n">
        <v>0.11757025</v>
      </c>
      <c r="AG140" s="11" t="n">
        <v>0.0018390491862</v>
      </c>
      <c r="AH140" s="11" t="n">
        <v>0.00025</v>
      </c>
      <c r="AI140" s="12">
        <f>AF140+AG140+AH140</f>
        <v/>
      </c>
      <c r="AJ140" s="6" t="n">
        <v>0</v>
      </c>
      <c r="AK140" s="6" t="inlineStr"/>
    </row>
    <row r="141">
      <c r="A141" s="5" t="n">
        <v>2</v>
      </c>
      <c r="B141" s="5" t="n">
        <v>20</v>
      </c>
      <c r="C141" s="5" t="inlineStr">
        <is>
          <t>med2_24</t>
        </is>
      </c>
      <c r="D141" s="5" t="inlineStr">
        <is>
          <t>B0</t>
        </is>
      </c>
      <c r="E141" s="5" t="inlineStr">
        <is>
          <t>2nd</t>
        </is>
      </c>
      <c r="F141" s="5" t="inlineStr">
        <is>
          <t>med2</t>
        </is>
      </c>
      <c r="G141" s="5" t="inlineStr">
        <is>
          <t>medium</t>
        </is>
      </c>
      <c r="H141" s="6" t="n">
        <v>0</v>
      </c>
      <c r="I141" s="6" t="n">
        <v>0</v>
      </c>
      <c r="J141" s="6" t="n">
        <v>0</v>
      </c>
      <c r="K141" s="6" t="n">
        <v>9</v>
      </c>
      <c r="L141" s="6" t="n">
        <v>4</v>
      </c>
      <c r="M141" s="6" t="n">
        <v>5</v>
      </c>
      <c r="N141" s="6" t="inlineStr">
        <is>
          <t>SUCCEEDED</t>
        </is>
      </c>
      <c r="O141" s="7" t="n">
        <v>145.094</v>
      </c>
      <c r="P141" s="7" t="n">
        <v>142.6084110736847</v>
      </c>
      <c r="Q141" s="7" t="n">
        <v>92.31767654418945</v>
      </c>
      <c r="R141" s="7" t="n">
        <v>100.0877027511597</v>
      </c>
      <c r="S141" s="8">
        <f>IF(N141="SUCCEEDED",P141/Q141,"")</f>
        <v/>
      </c>
      <c r="T141" s="8">
        <f>IF(N141="SUCCEEDED",P141/R141,"")</f>
        <v/>
      </c>
      <c r="U141" s="9">
        <f>IF(N141="SUCCEEDED",IF(D141="B0",O141-P141,O141-Q141),"")</f>
        <v/>
      </c>
      <c r="V141" s="7" t="n">
        <v>0.4088010787963867</v>
      </c>
      <c r="W141" s="6" t="n">
        <v>0</v>
      </c>
      <c r="X141" s="7" t="n">
        <v>0</v>
      </c>
      <c r="Y141" s="6" t="n">
        <v>9</v>
      </c>
      <c r="Z141" s="6" t="n">
        <v>0</v>
      </c>
      <c r="AA141" s="6" t="n">
        <v>0</v>
      </c>
      <c r="AB141" s="6" t="n">
        <v>0</v>
      </c>
      <c r="AC141" s="10" t="n">
        <v>3706</v>
      </c>
      <c r="AD141" s="10" t="n">
        <v>9744</v>
      </c>
      <c r="AE141" s="10" t="n">
        <v>9433</v>
      </c>
      <c r="AF141" s="11" t="n">
        <v>0.1429015</v>
      </c>
      <c r="AG141" s="11" t="n">
        <v>0.0009616181324000001</v>
      </c>
      <c r="AH141" s="11" t="n">
        <v>0.000225</v>
      </c>
      <c r="AI141" s="12">
        <f>AF141+AG141+AH141</f>
        <v/>
      </c>
      <c r="AJ141" s="6" t="n">
        <v>0</v>
      </c>
      <c r="AK141" s="6" t="inlineStr"/>
    </row>
    <row r="142">
      <c r="A142" s="5" t="n">
        <v>2</v>
      </c>
      <c r="B142" s="5" t="n">
        <v>21</v>
      </c>
      <c r="C142" s="5" t="inlineStr">
        <is>
          <t>med2_12</t>
        </is>
      </c>
      <c r="D142" s="5" t="inlineStr">
        <is>
          <t>B0</t>
        </is>
      </c>
      <c r="E142" s="5" t="inlineStr">
        <is>
          <t>1st</t>
        </is>
      </c>
      <c r="F142" s="5" t="inlineStr">
        <is>
          <t>med2</t>
        </is>
      </c>
      <c r="G142" s="5" t="inlineStr">
        <is>
          <t>medium</t>
        </is>
      </c>
      <c r="H142" s="6" t="n">
        <v>0</v>
      </c>
      <c r="I142" s="6" t="n">
        <v>0</v>
      </c>
      <c r="J142" s="6" t="n">
        <v>0</v>
      </c>
      <c r="K142" s="6" t="n">
        <v>9</v>
      </c>
      <c r="L142" s="6" t="n">
        <v>4</v>
      </c>
      <c r="M142" s="6" t="n">
        <v>5</v>
      </c>
      <c r="N142" s="6" t="inlineStr">
        <is>
          <t>SUCCEEDED</t>
        </is>
      </c>
      <c r="O142" s="7" t="n">
        <v>164.736</v>
      </c>
      <c r="P142" s="7" t="n">
        <v>161.8864576816559</v>
      </c>
      <c r="Q142" s="7" t="n">
        <v>100.9347965717316</v>
      </c>
      <c r="R142" s="7" t="n">
        <v>110.9256823062897</v>
      </c>
      <c r="S142" s="8">
        <f>IF(N142="SUCCEEDED",P142/Q142,"")</f>
        <v/>
      </c>
      <c r="T142" s="8">
        <f>IF(N142="SUCCEEDED",P142/R142,"")</f>
        <v/>
      </c>
      <c r="U142" s="9">
        <f>IF(N142="SUCCEEDED",IF(D142="B0",O142-P142,O142-Q142),"")</f>
        <v/>
      </c>
      <c r="V142" s="7" t="n">
        <v>0.4378209114074707</v>
      </c>
      <c r="W142" s="6" t="n">
        <v>0</v>
      </c>
      <c r="X142" s="7" t="n">
        <v>0</v>
      </c>
      <c r="Y142" s="6" t="n">
        <v>9</v>
      </c>
      <c r="Z142" s="6" t="n">
        <v>0</v>
      </c>
      <c r="AA142" s="6" t="n">
        <v>0</v>
      </c>
      <c r="AB142" s="6" t="n">
        <v>0</v>
      </c>
      <c r="AC142" s="10" t="n">
        <v>3755</v>
      </c>
      <c r="AD142" s="10" t="n">
        <v>10919</v>
      </c>
      <c r="AE142" s="10" t="n">
        <v>10604</v>
      </c>
      <c r="AF142" s="11" t="n">
        <v>0.15943725</v>
      </c>
      <c r="AG142" s="11" t="n">
        <v>0.0010912787807</v>
      </c>
      <c r="AH142" s="11" t="n">
        <v>0.000225</v>
      </c>
      <c r="AI142" s="12">
        <f>AF142+AG142+AH142</f>
        <v/>
      </c>
      <c r="AJ142" s="6" t="n">
        <v>0</v>
      </c>
      <c r="AK142" s="6" t="inlineStr"/>
    </row>
    <row r="143">
      <c r="A143" s="5" t="n">
        <v>2</v>
      </c>
      <c r="B143" s="5" t="n">
        <v>21</v>
      </c>
      <c r="C143" s="5" t="inlineStr">
        <is>
          <t>med2_12</t>
        </is>
      </c>
      <c r="D143" s="5" t="inlineStr">
        <is>
          <t>A1</t>
        </is>
      </c>
      <c r="E143" s="5" t="inlineStr">
        <is>
          <t>2nd</t>
        </is>
      </c>
      <c r="F143" s="5" t="inlineStr">
        <is>
          <t>med2</t>
        </is>
      </c>
      <c r="G143" s="5" t="inlineStr">
        <is>
          <t>medium</t>
        </is>
      </c>
      <c r="H143" s="6" t="n">
        <v>0</v>
      </c>
      <c r="I143" s="6" t="n">
        <v>0</v>
      </c>
      <c r="J143" s="6" t="n">
        <v>0</v>
      </c>
      <c r="K143" s="6" t="n">
        <v>9</v>
      </c>
      <c r="L143" s="6" t="n">
        <v>4</v>
      </c>
      <c r="M143" s="6" t="n">
        <v>5</v>
      </c>
      <c r="N143" s="6" t="inlineStr">
        <is>
          <t>SUCCEEDED</t>
        </is>
      </c>
      <c r="O143" s="7" t="n">
        <v>92.429</v>
      </c>
      <c r="P143" s="7" t="n">
        <v>172.6500763893127</v>
      </c>
      <c r="Q143" s="7" t="n">
        <v>91.63027310371399</v>
      </c>
      <c r="R143" s="7" t="n">
        <v>117.4524171352386</v>
      </c>
      <c r="S143" s="8">
        <f>IF(N143="SUCCEEDED",P143/Q143,"")</f>
        <v/>
      </c>
      <c r="T143" s="8">
        <f>IF(N143="SUCCEEDED",P143/R143,"")</f>
        <v/>
      </c>
      <c r="U143" s="9">
        <f>IF(N143="SUCCEEDED",IF(D143="B0",O143-P143,O143-Q143),"")</f>
        <v/>
      </c>
      <c r="V143" s="7" t="n">
        <v>149.4960386753082</v>
      </c>
      <c r="W143" s="6" t="n">
        <v>0</v>
      </c>
      <c r="X143" s="7" t="n">
        <v>0</v>
      </c>
      <c r="Y143" s="6" t="n">
        <v>9</v>
      </c>
      <c r="Z143" s="6" t="n">
        <v>0</v>
      </c>
      <c r="AA143" s="6" t="n">
        <v>0</v>
      </c>
      <c r="AB143" s="6" t="n">
        <v>0</v>
      </c>
      <c r="AC143" s="10" t="n">
        <v>3732</v>
      </c>
      <c r="AD143" s="10" t="n">
        <v>10724</v>
      </c>
      <c r="AE143" s="10" t="n">
        <v>10432</v>
      </c>
      <c r="AF143" s="11" t="n">
        <v>0.156667</v>
      </c>
      <c r="AG143" s="11" t="n">
        <v>0.0021559707708</v>
      </c>
      <c r="AH143" s="11" t="n">
        <v>0.00025</v>
      </c>
      <c r="AI143" s="12">
        <f>AF143+AG143+AH143</f>
        <v/>
      </c>
      <c r="AJ143" s="6" t="n">
        <v>0</v>
      </c>
      <c r="AK143" s="6" t="inlineStr"/>
    </row>
    <row r="144">
      <c r="A144" s="5" t="n">
        <v>2</v>
      </c>
      <c r="B144" s="5" t="n">
        <v>22</v>
      </c>
      <c r="C144" s="5" t="inlineStr">
        <is>
          <t>hard1_45</t>
        </is>
      </c>
      <c r="D144" s="5" t="inlineStr">
        <is>
          <t>A1</t>
        </is>
      </c>
      <c r="E144" s="5" t="inlineStr">
        <is>
          <t>1st</t>
        </is>
      </c>
      <c r="F144" s="5" t="inlineStr">
        <is>
          <t>hard1</t>
        </is>
      </c>
      <c r="G144" s="5" t="inlineStr">
        <is>
          <t>hard</t>
        </is>
      </c>
      <c r="H144" s="6" t="n">
        <v>0</v>
      </c>
      <c r="I144" s="6" t="n">
        <v>0</v>
      </c>
      <c r="J144" s="6" t="n">
        <v>0</v>
      </c>
      <c r="K144" s="6" t="n">
        <v>16</v>
      </c>
      <c r="L144" s="6" t="n">
        <v>9</v>
      </c>
      <c r="M144" s="6" t="n">
        <v>5</v>
      </c>
      <c r="N144" s="6" t="inlineStr">
        <is>
          <t>SUCCEEDED</t>
        </is>
      </c>
      <c r="O144" s="7" t="n">
        <v>221.279</v>
      </c>
      <c r="P144" s="7" t="n">
        <v>285.2328219413757</v>
      </c>
      <c r="Q144" s="7" t="n">
        <v>219.0607283115387</v>
      </c>
      <c r="R144" s="7" t="n">
        <v>246.5382986068726</v>
      </c>
      <c r="S144" s="8">
        <f>IF(N144="SUCCEEDED",P144/Q144,"")</f>
        <v/>
      </c>
      <c r="T144" s="8">
        <f>IF(N144="SUCCEEDED",P144/R144,"")</f>
        <v/>
      </c>
      <c r="U144" s="9">
        <f>IF(N144="SUCCEEDED",IF(D144="B0",O144-P144,O144-Q144),"")</f>
        <v/>
      </c>
      <c r="V144" s="7" t="n">
        <v>744.7101099491119</v>
      </c>
      <c r="W144" s="6" t="n">
        <v>0</v>
      </c>
      <c r="X144" s="7" t="n">
        <v>0</v>
      </c>
      <c r="Y144" s="6" t="n">
        <v>16</v>
      </c>
      <c r="Z144" s="6" t="n">
        <v>0</v>
      </c>
      <c r="AA144" s="6" t="n">
        <v>0</v>
      </c>
      <c r="AB144" s="6" t="n">
        <v>0</v>
      </c>
      <c r="AC144" s="10" t="n">
        <v>9685</v>
      </c>
      <c r="AD144" s="10" t="n">
        <v>16650</v>
      </c>
      <c r="AE144" s="10" t="n">
        <v>16057</v>
      </c>
      <c r="AF144" s="11" t="n">
        <v>0.25004875</v>
      </c>
      <c r="AG144" s="11" t="n">
        <v>0.0068810010555</v>
      </c>
      <c r="AH144" s="11" t="n">
        <v>0.000425</v>
      </c>
      <c r="AI144" s="12">
        <f>AF144+AG144+AH144</f>
        <v/>
      </c>
      <c r="AJ144" s="6" t="n">
        <v>0</v>
      </c>
      <c r="AK144" s="6" t="inlineStr"/>
    </row>
    <row r="145">
      <c r="A145" s="5" t="n">
        <v>2</v>
      </c>
      <c r="B145" s="5" t="n">
        <v>22</v>
      </c>
      <c r="C145" s="5" t="inlineStr">
        <is>
          <t>hard1_45</t>
        </is>
      </c>
      <c r="D145" s="5" t="inlineStr">
        <is>
          <t>B0</t>
        </is>
      </c>
      <c r="E145" s="5" t="inlineStr">
        <is>
          <t>2nd</t>
        </is>
      </c>
      <c r="F145" s="5" t="inlineStr">
        <is>
          <t>hard1</t>
        </is>
      </c>
      <c r="G145" s="5" t="inlineStr">
        <is>
          <t>hard</t>
        </is>
      </c>
      <c r="H145" s="6" t="n">
        <v>0</v>
      </c>
      <c r="I145" s="6" t="n">
        <v>0</v>
      </c>
      <c r="J145" s="6" t="n">
        <v>0</v>
      </c>
      <c r="K145" s="6" t="n">
        <v>16</v>
      </c>
      <c r="L145" s="6" t="n">
        <v>9</v>
      </c>
      <c r="M145" s="6" t="n">
        <v>5</v>
      </c>
      <c r="N145" s="6" t="inlineStr">
        <is>
          <t>SUCCEEDED</t>
        </is>
      </c>
      <c r="O145" s="7" t="n">
        <v>301.289</v>
      </c>
      <c r="P145" s="7" t="n">
        <v>296.6774632930756</v>
      </c>
      <c r="Q145" s="7" t="n">
        <v>229.8760530948639</v>
      </c>
      <c r="R145" s="7" t="n">
        <v>261.7654252052307</v>
      </c>
      <c r="S145" s="8">
        <f>IF(N145="SUCCEEDED",P145/Q145,"")</f>
        <v/>
      </c>
      <c r="T145" s="8">
        <f>IF(N145="SUCCEEDED",P145/R145,"")</f>
        <v/>
      </c>
      <c r="U145" s="9">
        <f>IF(N145="SUCCEEDED",IF(D145="B0",O145-P145,O145-Q145),"")</f>
        <v/>
      </c>
      <c r="V145" s="7" t="n">
        <v>1.07925271987915</v>
      </c>
      <c r="W145" s="6" t="n">
        <v>0</v>
      </c>
      <c r="X145" s="7" t="n">
        <v>0</v>
      </c>
      <c r="Y145" s="6" t="n">
        <v>16</v>
      </c>
      <c r="Z145" s="6" t="n">
        <v>0</v>
      </c>
      <c r="AA145" s="6" t="n">
        <v>0</v>
      </c>
      <c r="AB145" s="6" t="n">
        <v>0</v>
      </c>
      <c r="AC145" s="10" t="n">
        <v>9680</v>
      </c>
      <c r="AD145" s="10" t="n">
        <v>18313</v>
      </c>
      <c r="AE145" s="10" t="n">
        <v>17718</v>
      </c>
      <c r="AF145" s="11" t="n">
        <v>0.273322</v>
      </c>
      <c r="AG145" s="11" t="n">
        <v>0.0019989566454</v>
      </c>
      <c r="AH145" s="11" t="n">
        <v>0.0004</v>
      </c>
      <c r="AI145" s="12">
        <f>AF145+AG145+AH145</f>
        <v/>
      </c>
      <c r="AJ145" s="6" t="n">
        <v>0</v>
      </c>
      <c r="AK145" s="6" t="inlineStr"/>
    </row>
    <row r="146">
      <c r="A146" s="5" t="n">
        <v>2</v>
      </c>
      <c r="B146" s="5" t="n">
        <v>23</v>
      </c>
      <c r="C146" s="5" t="inlineStr">
        <is>
          <t>easy2_20</t>
        </is>
      </c>
      <c r="D146" s="5" t="inlineStr">
        <is>
          <t>B0</t>
        </is>
      </c>
      <c r="E146" s="5" t="inlineStr">
        <is>
          <t>1st</t>
        </is>
      </c>
      <c r="F146" s="5" t="inlineStr">
        <is>
          <t>easy2</t>
        </is>
      </c>
      <c r="G146" s="5" t="inlineStr">
        <is>
          <t>easy</t>
        </is>
      </c>
      <c r="H146" s="6" t="n">
        <v>1</v>
      </c>
      <c r="I146" s="6" t="n">
        <v>0</v>
      </c>
      <c r="J146" s="6" t="n">
        <v>1</v>
      </c>
      <c r="K146" s="6" t="n">
        <v>5</v>
      </c>
      <c r="L146" s="6" t="n">
        <v>4</v>
      </c>
      <c r="M146" s="6" t="n">
        <v>2</v>
      </c>
      <c r="N146" s="6" t="inlineStr">
        <is>
          <t>SUCCEEDED</t>
        </is>
      </c>
      <c r="O146" s="7" t="n">
        <v>88.62</v>
      </c>
      <c r="P146" s="7" t="n">
        <v>87.15240931510925</v>
      </c>
      <c r="Q146" s="7" t="n">
        <v>75.04594755172729</v>
      </c>
      <c r="R146" s="7" t="n">
        <v>75.04594755172729</v>
      </c>
      <c r="S146" s="8">
        <f>IF(N146="SUCCEEDED",P146/Q146,"")</f>
        <v/>
      </c>
      <c r="T146" s="8">
        <f>IF(N146="SUCCEEDED",P146/R146,"")</f>
        <v/>
      </c>
      <c r="U146" s="9">
        <f>IF(N146="SUCCEEDED",IF(D146="B0",O146-P146,O146-Q146),"")</f>
        <v/>
      </c>
      <c r="V146" s="7" t="n">
        <v>0.269550085067749</v>
      </c>
      <c r="W146" s="6" t="n">
        <v>0</v>
      </c>
      <c r="X146" s="7" t="n">
        <v>0</v>
      </c>
      <c r="Y146" s="6" t="n">
        <v>5</v>
      </c>
      <c r="Z146" s="6" t="n">
        <v>0</v>
      </c>
      <c r="AA146" s="6" t="n">
        <v>0</v>
      </c>
      <c r="AB146" s="6" t="n">
        <v>0</v>
      </c>
      <c r="AC146" s="10" t="n">
        <v>2791</v>
      </c>
      <c r="AD146" s="10" t="n">
        <v>6228</v>
      </c>
      <c r="AE146" s="10" t="n">
        <v>5478</v>
      </c>
      <c r="AF146" s="11" t="n">
        <v>0.09207625</v>
      </c>
      <c r="AG146" s="11" t="n">
        <v>0.000587802934</v>
      </c>
      <c r="AH146" s="11" t="n">
        <v>0.000125</v>
      </c>
      <c r="AI146" s="12">
        <f>AF146+AG146+AH146</f>
        <v/>
      </c>
      <c r="AJ146" s="6" t="n">
        <v>0</v>
      </c>
      <c r="AK146" s="6" t="inlineStr">
        <is>
          <t>no</t>
        </is>
      </c>
    </row>
    <row r="147">
      <c r="A147" s="5" t="n">
        <v>2</v>
      </c>
      <c r="B147" s="5" t="n">
        <v>23</v>
      </c>
      <c r="C147" s="5" t="inlineStr">
        <is>
          <t>easy2_20</t>
        </is>
      </c>
      <c r="D147" s="5" t="inlineStr">
        <is>
          <t>A1</t>
        </is>
      </c>
      <c r="E147" s="5" t="inlineStr">
        <is>
          <t>2nd</t>
        </is>
      </c>
      <c r="F147" s="5" t="inlineStr">
        <is>
          <t>easy2</t>
        </is>
      </c>
      <c r="G147" s="5" t="inlineStr">
        <is>
          <t>easy</t>
        </is>
      </c>
      <c r="H147" s="6" t="n">
        <v>1</v>
      </c>
      <c r="I147" s="6" t="n">
        <v>0</v>
      </c>
      <c r="J147" s="6" t="n">
        <v>1</v>
      </c>
      <c r="K147" s="6" t="n">
        <v>5</v>
      </c>
      <c r="L147" s="6" t="n">
        <v>4</v>
      </c>
      <c r="M147" s="6" t="n">
        <v>2</v>
      </c>
      <c r="N147" s="6" t="inlineStr">
        <is>
          <t>SUCCEEDED</t>
        </is>
      </c>
      <c r="O147" s="7" t="n">
        <v>136.976</v>
      </c>
      <c r="P147" s="7" t="n">
        <v>144.0711402893066</v>
      </c>
      <c r="Q147" s="7" t="n">
        <v>136.1221528053284</v>
      </c>
      <c r="R147" s="7" t="n">
        <v>136.1221528053284</v>
      </c>
      <c r="S147" s="8">
        <f>IF(N147="SUCCEEDED",P147/Q147,"")</f>
        <v/>
      </c>
      <c r="T147" s="8">
        <f>IF(N147="SUCCEEDED",P147/R147,"")</f>
        <v/>
      </c>
      <c r="U147" s="9">
        <f>IF(N147="SUCCEEDED",IF(D147="B0",O147-P147,O147-Q147),"")</f>
        <v/>
      </c>
      <c r="V147" s="7" t="n">
        <v>270.390852689743</v>
      </c>
      <c r="W147" s="6" t="n">
        <v>0</v>
      </c>
      <c r="X147" s="7" t="n">
        <v>0</v>
      </c>
      <c r="Y147" s="6" t="n">
        <v>5</v>
      </c>
      <c r="Z147" s="6" t="n">
        <v>0</v>
      </c>
      <c r="AA147" s="6" t="n">
        <v>0</v>
      </c>
      <c r="AB147" s="6" t="n">
        <v>0</v>
      </c>
      <c r="AC147" s="10" t="n">
        <v>2768</v>
      </c>
      <c r="AD147" s="10" t="n">
        <v>8317</v>
      </c>
      <c r="AE147" s="10" t="n">
        <v>7610</v>
      </c>
      <c r="AF147" s="11" t="n">
        <v>0.121282</v>
      </c>
      <c r="AG147" s="11" t="n">
        <v>0.0027676404998</v>
      </c>
      <c r="AH147" s="11" t="n">
        <v>0.00015</v>
      </c>
      <c r="AI147" s="12">
        <f>AF147+AG147+AH147</f>
        <v/>
      </c>
      <c r="AJ147" s="6" t="n">
        <v>0</v>
      </c>
      <c r="AK147" s="6" t="inlineStr">
        <is>
          <t>yes</t>
        </is>
      </c>
    </row>
    <row r="148">
      <c r="A148" s="5" t="n">
        <v>2</v>
      </c>
      <c r="B148" s="5" t="n">
        <v>24</v>
      </c>
      <c r="C148" s="5" t="inlineStr">
        <is>
          <t>protein_1CAD_query_1_mask_2</t>
        </is>
      </c>
      <c r="D148" s="5" t="inlineStr">
        <is>
          <t>A1</t>
        </is>
      </c>
      <c r="E148" s="5" t="inlineStr">
        <is>
          <t>1st</t>
        </is>
      </c>
      <c r="F148" s="5" t="inlineStr">
        <is>
          <t>med4</t>
        </is>
      </c>
      <c r="G148" s="5" t="inlineStr">
        <is>
          <t>medium</t>
        </is>
      </c>
      <c r="H148" s="6" t="n">
        <v>0</v>
      </c>
      <c r="I148" s="6" t="n">
        <v>0</v>
      </c>
      <c r="J148" s="6" t="n">
        <v>0</v>
      </c>
      <c r="K148" s="6" t="n">
        <v>6</v>
      </c>
      <c r="L148" s="6" t="n">
        <v>5</v>
      </c>
      <c r="M148" s="6" t="n">
        <v>2</v>
      </c>
      <c r="N148" s="6" t="inlineStr">
        <is>
          <t>SUCCEEDED</t>
        </is>
      </c>
      <c r="O148" s="7" t="n">
        <v>116.043</v>
      </c>
      <c r="P148" s="7" t="n">
        <v>123.1181817054749</v>
      </c>
      <c r="Q148" s="7" t="n">
        <v>114.9643278121948</v>
      </c>
      <c r="R148" s="7" t="n">
        <v>114.9643278121948</v>
      </c>
      <c r="S148" s="8">
        <f>IF(N148="SUCCEEDED",P148/Q148,"")</f>
        <v/>
      </c>
      <c r="T148" s="8">
        <f>IF(N148="SUCCEEDED",P148/R148,"")</f>
        <v/>
      </c>
      <c r="U148" s="9">
        <f>IF(N148="SUCCEEDED",IF(D148="B0",O148-P148,O148-Q148),"")</f>
        <v/>
      </c>
      <c r="V148" s="7" t="n">
        <v>204.8135004043579</v>
      </c>
      <c r="W148" s="6" t="n">
        <v>0</v>
      </c>
      <c r="X148" s="7" t="n">
        <v>0</v>
      </c>
      <c r="Y148" s="6" t="n">
        <v>6</v>
      </c>
      <c r="Z148" s="6" t="n">
        <v>0</v>
      </c>
      <c r="AA148" s="6" t="n">
        <v>0</v>
      </c>
      <c r="AB148" s="6" t="n">
        <v>0</v>
      </c>
      <c r="AC148" s="10" t="n">
        <v>89080</v>
      </c>
      <c r="AD148" s="10" t="n">
        <v>9092</v>
      </c>
      <c r="AE148" s="10" t="n">
        <v>8891</v>
      </c>
      <c r="AF148" s="11" t="n">
        <v>0.283178</v>
      </c>
      <c r="AG148" s="11" t="n">
        <v>0.0021916442855</v>
      </c>
      <c r="AH148" s="11" t="n">
        <v>0.000175</v>
      </c>
      <c r="AI148" s="12">
        <f>AF148+AG148+AH148</f>
        <v/>
      </c>
      <c r="AJ148" s="6" t="n">
        <v>0</v>
      </c>
      <c r="AK148" s="6" t="inlineStr"/>
    </row>
    <row r="149">
      <c r="A149" s="5" t="n">
        <v>2</v>
      </c>
      <c r="B149" s="5" t="n">
        <v>24</v>
      </c>
      <c r="C149" s="5" t="inlineStr">
        <is>
          <t>protein_1CAD_query_1_mask_2</t>
        </is>
      </c>
      <c r="D149" s="5" t="inlineStr">
        <is>
          <t>B0</t>
        </is>
      </c>
      <c r="E149" s="5" t="inlineStr">
        <is>
          <t>2nd</t>
        </is>
      </c>
      <c r="F149" s="5" t="inlineStr">
        <is>
          <t>med4</t>
        </is>
      </c>
      <c r="G149" s="5" t="inlineStr">
        <is>
          <t>medium</t>
        </is>
      </c>
      <c r="H149" s="6" t="n">
        <v>0</v>
      </c>
      <c r="I149" s="6" t="n">
        <v>0</v>
      </c>
      <c r="J149" s="6" t="n">
        <v>0</v>
      </c>
      <c r="K149" s="6" t="n">
        <v>6</v>
      </c>
      <c r="L149" s="6" t="n">
        <v>5</v>
      </c>
      <c r="M149" s="6" t="n">
        <v>2</v>
      </c>
      <c r="N149" s="6" t="inlineStr">
        <is>
          <t>SUCCEEDED</t>
        </is>
      </c>
      <c r="O149" s="7" t="n">
        <v>123.453</v>
      </c>
      <c r="P149" s="7" t="n">
        <v>121.4665613174438</v>
      </c>
      <c r="Q149" s="7" t="n">
        <v>113.6405231952667</v>
      </c>
      <c r="R149" s="7" t="n">
        <v>113.6405231952667</v>
      </c>
      <c r="S149" s="8">
        <f>IF(N149="SUCCEEDED",P149/Q149,"")</f>
        <v/>
      </c>
      <c r="T149" s="8">
        <f>IF(N149="SUCCEEDED",P149/R149,"")</f>
        <v/>
      </c>
      <c r="U149" s="9">
        <f>IF(N149="SUCCEEDED",IF(D149="B0",O149-P149,O149-Q149),"")</f>
        <v/>
      </c>
      <c r="V149" s="7" t="n">
        <v>0.5189182758331299</v>
      </c>
      <c r="W149" s="6" t="n">
        <v>0</v>
      </c>
      <c r="X149" s="7" t="n">
        <v>0</v>
      </c>
      <c r="Y149" s="6" t="n">
        <v>6</v>
      </c>
      <c r="Z149" s="6" t="n">
        <v>0</v>
      </c>
      <c r="AA149" s="6" t="n">
        <v>0</v>
      </c>
      <c r="AB149" s="6" t="n">
        <v>0</v>
      </c>
      <c r="AC149" s="10" t="n">
        <v>89083</v>
      </c>
      <c r="AD149" s="10" t="n">
        <v>9388</v>
      </c>
      <c r="AE149" s="10" t="n">
        <v>9188</v>
      </c>
      <c r="AF149" s="11" t="n">
        <v>0.28732725</v>
      </c>
      <c r="AG149" s="11" t="n">
        <v>0.0008188640883</v>
      </c>
      <c r="AH149" s="11" t="n">
        <v>0.00015</v>
      </c>
      <c r="AI149" s="12">
        <f>AF149+AG149+AH149</f>
        <v/>
      </c>
      <c r="AJ149" s="6" t="n">
        <v>0</v>
      </c>
      <c r="AK149" s="6" t="inlineStr"/>
    </row>
    <row r="150">
      <c r="A150" s="5" t="n">
        <v>2</v>
      </c>
      <c r="B150" s="5" t="n">
        <v>25</v>
      </c>
      <c r="C150" s="5" t="inlineStr">
        <is>
          <t>med2_27</t>
        </is>
      </c>
      <c r="D150" s="5" t="inlineStr">
        <is>
          <t>B0</t>
        </is>
      </c>
      <c r="E150" s="5" t="inlineStr">
        <is>
          <t>1st</t>
        </is>
      </c>
      <c r="F150" s="5" t="inlineStr">
        <is>
          <t>med2</t>
        </is>
      </c>
      <c r="G150" s="5" t="inlineStr">
        <is>
          <t>medium</t>
        </is>
      </c>
      <c r="H150" s="6" t="n">
        <v>0</v>
      </c>
      <c r="I150" s="6" t="n">
        <v>0</v>
      </c>
      <c r="J150" s="6" t="n">
        <v>0</v>
      </c>
      <c r="K150" s="6" t="n">
        <v>9</v>
      </c>
      <c r="L150" s="6" t="n">
        <v>4</v>
      </c>
      <c r="M150" s="6" t="n">
        <v>5</v>
      </c>
      <c r="N150" s="6" t="inlineStr">
        <is>
          <t>SUCCEEDED</t>
        </is>
      </c>
      <c r="O150" s="7" t="n">
        <v>263.397</v>
      </c>
      <c r="P150" s="7" t="n">
        <v>260.8849325180054</v>
      </c>
      <c r="Q150" s="7" t="n">
        <v>169.1804802417755</v>
      </c>
      <c r="R150" s="7" t="n">
        <v>188.1782615184784</v>
      </c>
      <c r="S150" s="8">
        <f>IF(N150="SUCCEEDED",P150/Q150,"")</f>
        <v/>
      </c>
      <c r="T150" s="8">
        <f>IF(N150="SUCCEEDED",P150/R150,"")</f>
        <v/>
      </c>
      <c r="U150" s="9">
        <f>IF(N150="SUCCEEDED",IF(D150="B0",O150-P150,O150-Q150),"")</f>
        <v/>
      </c>
      <c r="V150" s="7" t="n">
        <v>0.4785761833190918</v>
      </c>
      <c r="W150" s="6" t="n">
        <v>0</v>
      </c>
      <c r="X150" s="7" t="n">
        <v>0</v>
      </c>
      <c r="Y150" s="6" t="n">
        <v>9</v>
      </c>
      <c r="Z150" s="6" t="n">
        <v>0</v>
      </c>
      <c r="AA150" s="6" t="n">
        <v>0</v>
      </c>
      <c r="AB150" s="6" t="n">
        <v>0</v>
      </c>
      <c r="AC150" s="10" t="n">
        <v>3852</v>
      </c>
      <c r="AD150" s="10" t="n">
        <v>15665</v>
      </c>
      <c r="AE150" s="10" t="n">
        <v>15284</v>
      </c>
      <c r="AF150" s="11" t="n">
        <v>0.226051</v>
      </c>
      <c r="AG150" s="11" t="n">
        <v>0.0017508420785</v>
      </c>
      <c r="AH150" s="11" t="n">
        <v>0.000225</v>
      </c>
      <c r="AI150" s="12">
        <f>AF150+AG150+AH150</f>
        <v/>
      </c>
      <c r="AJ150" s="6" t="n">
        <v>0</v>
      </c>
      <c r="AK150" s="6" t="inlineStr"/>
    </row>
    <row r="151">
      <c r="A151" s="5" t="n">
        <v>2</v>
      </c>
      <c r="B151" s="5" t="n">
        <v>25</v>
      </c>
      <c r="C151" s="5" t="inlineStr">
        <is>
          <t>med2_27</t>
        </is>
      </c>
      <c r="D151" s="5" t="inlineStr">
        <is>
          <t>A1</t>
        </is>
      </c>
      <c r="E151" s="5" t="inlineStr">
        <is>
          <t>2nd</t>
        </is>
      </c>
      <c r="F151" s="5" t="inlineStr">
        <is>
          <t>med2</t>
        </is>
      </c>
      <c r="G151" s="5" t="inlineStr">
        <is>
          <t>medium</t>
        </is>
      </c>
      <c r="H151" s="6" t="n">
        <v>0</v>
      </c>
      <c r="I151" s="6" t="n">
        <v>0</v>
      </c>
      <c r="J151" s="6" t="n">
        <v>0</v>
      </c>
      <c r="K151" s="6" t="n">
        <v>9</v>
      </c>
      <c r="L151" s="6" t="n">
        <v>4</v>
      </c>
      <c r="M151" s="6" t="n">
        <v>5</v>
      </c>
      <c r="N151" s="6" t="inlineStr">
        <is>
          <t>SUCCEEDED</t>
        </is>
      </c>
      <c r="O151" s="7" t="n">
        <v>183.375</v>
      </c>
      <c r="P151" s="7" t="n">
        <v>256.4446268081665</v>
      </c>
      <c r="Q151" s="7" t="n">
        <v>182.460675239563</v>
      </c>
      <c r="R151" s="7" t="n">
        <v>193.0345630645752</v>
      </c>
      <c r="S151" s="8">
        <f>IF(N151="SUCCEEDED",P151/Q151,"")</f>
        <v/>
      </c>
      <c r="T151" s="8">
        <f>IF(N151="SUCCEEDED",P151/R151,"")</f>
        <v/>
      </c>
      <c r="U151" s="9">
        <f>IF(N151="SUCCEEDED",IF(D151="B0",O151-P151,O151-Q151),"")</f>
        <v/>
      </c>
      <c r="V151" s="7" t="n">
        <v>207.2255058288574</v>
      </c>
      <c r="W151" s="6" t="n">
        <v>0</v>
      </c>
      <c r="X151" s="7" t="n">
        <v>0</v>
      </c>
      <c r="Y151" s="6" t="n">
        <v>9</v>
      </c>
      <c r="Z151" s="6" t="n">
        <v>0</v>
      </c>
      <c r="AA151" s="6" t="n">
        <v>0</v>
      </c>
      <c r="AB151" s="6" t="n">
        <v>0</v>
      </c>
      <c r="AC151" s="10" t="n">
        <v>3880</v>
      </c>
      <c r="AD151" s="10" t="n">
        <v>15326</v>
      </c>
      <c r="AE151" s="10" t="n">
        <v>14953</v>
      </c>
      <c r="AF151" s="11" t="n">
        <v>0.221354</v>
      </c>
      <c r="AG151" s="11" t="n">
        <v>0.0030992554872</v>
      </c>
      <c r="AH151" s="11" t="n">
        <v>0.00025</v>
      </c>
      <c r="AI151" s="12">
        <f>AF151+AG151+AH151</f>
        <v/>
      </c>
      <c r="AJ151" s="6" t="n">
        <v>0</v>
      </c>
      <c r="AK151" s="6" t="inlineStr"/>
    </row>
    <row r="152">
      <c r="A152" s="5" t="n">
        <v>2</v>
      </c>
      <c r="B152" s="5" t="n">
        <v>26</v>
      </c>
      <c r="C152" s="5" t="inlineStr">
        <is>
          <t>protein_1GCN_query_4_mask_4</t>
        </is>
      </c>
      <c r="D152" s="5" t="inlineStr">
        <is>
          <t>A1</t>
        </is>
      </c>
      <c r="E152" s="5" t="inlineStr">
        <is>
          <t>1st</t>
        </is>
      </c>
      <c r="F152" s="5" t="inlineStr">
        <is>
          <t>hard4</t>
        </is>
      </c>
      <c r="G152" s="5" t="inlineStr">
        <is>
          <t>hard</t>
        </is>
      </c>
      <c r="H152" s="6" t="n">
        <v>0</v>
      </c>
      <c r="I152" s="6" t="n">
        <v>0</v>
      </c>
      <c r="J152" s="6" t="n">
        <v>0</v>
      </c>
      <c r="K152" s="6" t="n">
        <v>6</v>
      </c>
      <c r="L152" s="6" t="n">
        <v>5</v>
      </c>
      <c r="M152" s="6" t="n">
        <v>2</v>
      </c>
      <c r="N152" s="6" t="inlineStr">
        <is>
          <t>SUCCEEDED</t>
        </is>
      </c>
      <c r="O152" s="7" t="n">
        <v>102.128</v>
      </c>
      <c r="P152" s="7" t="n">
        <v>108.2569403648376</v>
      </c>
      <c r="Q152" s="7" t="n">
        <v>100.8961820602417</v>
      </c>
      <c r="R152" s="7" t="n">
        <v>100.8961820602417</v>
      </c>
      <c r="S152" s="8">
        <f>IF(N152="SUCCEEDED",P152/Q152,"")</f>
        <v/>
      </c>
      <c r="T152" s="8">
        <f>IF(N152="SUCCEEDED",P152/R152,"")</f>
        <v/>
      </c>
      <c r="U152" s="9">
        <f>IF(N152="SUCCEEDED",IF(D152="B0",O152-P152,O152-Q152),"")</f>
        <v/>
      </c>
      <c r="V152" s="7" t="n">
        <v>163.3400213718414</v>
      </c>
      <c r="W152" s="6" t="n">
        <v>0</v>
      </c>
      <c r="X152" s="7" t="n">
        <v>0</v>
      </c>
      <c r="Y152" s="6" t="n">
        <v>6</v>
      </c>
      <c r="Z152" s="6" t="n">
        <v>0</v>
      </c>
      <c r="AA152" s="6" t="n">
        <v>0</v>
      </c>
      <c r="AB152" s="6" t="n">
        <v>0</v>
      </c>
      <c r="AC152" s="10" t="n">
        <v>52846</v>
      </c>
      <c r="AD152" s="10" t="n">
        <v>7483</v>
      </c>
      <c r="AE152" s="10" t="n">
        <v>7268</v>
      </c>
      <c r="AF152" s="11" t="n">
        <v>0.1972425</v>
      </c>
      <c r="AG152" s="11" t="n">
        <v>0.0018163824092</v>
      </c>
      <c r="AH152" s="11" t="n">
        <v>0.000175</v>
      </c>
      <c r="AI152" s="12">
        <f>AF152+AG152+AH152</f>
        <v/>
      </c>
      <c r="AJ152" s="6" t="n">
        <v>0</v>
      </c>
      <c r="AK152" s="6" t="inlineStr"/>
    </row>
    <row r="153">
      <c r="A153" s="5" t="n">
        <v>2</v>
      </c>
      <c r="B153" s="5" t="n">
        <v>26</v>
      </c>
      <c r="C153" s="5" t="inlineStr">
        <is>
          <t>protein_1GCN_query_4_mask_4</t>
        </is>
      </c>
      <c r="D153" s="5" t="inlineStr">
        <is>
          <t>B0</t>
        </is>
      </c>
      <c r="E153" s="5" t="inlineStr">
        <is>
          <t>2nd</t>
        </is>
      </c>
      <c r="F153" s="5" t="inlineStr">
        <is>
          <t>hard4</t>
        </is>
      </c>
      <c r="G153" s="5" t="inlineStr">
        <is>
          <t>hard</t>
        </is>
      </c>
      <c r="H153" s="6" t="n">
        <v>0</v>
      </c>
      <c r="I153" s="6" t="n">
        <v>0</v>
      </c>
      <c r="J153" s="6" t="n">
        <v>0</v>
      </c>
      <c r="K153" s="6" t="n">
        <v>6</v>
      </c>
      <c r="L153" s="6" t="n">
        <v>5</v>
      </c>
      <c r="M153" s="6" t="n">
        <v>2</v>
      </c>
      <c r="N153" s="6" t="inlineStr">
        <is>
          <t>SUCCEEDED</t>
        </is>
      </c>
      <c r="O153" s="7" t="n">
        <v>141.674</v>
      </c>
      <c r="P153" s="7" t="n">
        <v>139.9247810840607</v>
      </c>
      <c r="Q153" s="7" t="n">
        <v>132.987254858017</v>
      </c>
      <c r="R153" s="7" t="n">
        <v>132.987254858017</v>
      </c>
      <c r="S153" s="8">
        <f>IF(N153="SUCCEEDED",P153/Q153,"")</f>
        <v/>
      </c>
      <c r="T153" s="8">
        <f>IF(N153="SUCCEEDED",P153/R153,"")</f>
        <v/>
      </c>
      <c r="U153" s="9">
        <f>IF(N153="SUCCEEDED",IF(D153="B0",O153-P153,O153-Q153),"")</f>
        <v/>
      </c>
      <c r="V153" s="7" t="n">
        <v>0.4391558170318604</v>
      </c>
      <c r="W153" s="6" t="n">
        <v>0</v>
      </c>
      <c r="X153" s="7" t="n">
        <v>0</v>
      </c>
      <c r="Y153" s="6" t="n">
        <v>6</v>
      </c>
      <c r="Z153" s="6" t="n">
        <v>0</v>
      </c>
      <c r="AA153" s="6" t="n">
        <v>0</v>
      </c>
      <c r="AB153" s="6" t="n">
        <v>0</v>
      </c>
      <c r="AC153" s="10" t="n">
        <v>52861</v>
      </c>
      <c r="AD153" s="10" t="n">
        <v>11002</v>
      </c>
      <c r="AE153" s="10" t="n">
        <v>10791</v>
      </c>
      <c r="AF153" s="11" t="n">
        <v>0.24653475</v>
      </c>
      <c r="AG153" s="11" t="n">
        <v>0.0009410313657999999</v>
      </c>
      <c r="AH153" s="11" t="n">
        <v>0.00015</v>
      </c>
      <c r="AI153" s="12">
        <f>AF153+AG153+AH153</f>
        <v/>
      </c>
      <c r="AJ153" s="6" t="n">
        <v>0</v>
      </c>
      <c r="AK153" s="6" t="inlineStr"/>
    </row>
    <row r="154">
      <c r="A154" s="5" t="n">
        <v>2</v>
      </c>
      <c r="B154" s="5" t="n">
        <v>27</v>
      </c>
      <c r="C154" s="5" t="inlineStr">
        <is>
          <t>hard2_23</t>
        </is>
      </c>
      <c r="D154" s="5" t="inlineStr">
        <is>
          <t>B0</t>
        </is>
      </c>
      <c r="E154" s="5" t="inlineStr">
        <is>
          <t>1st</t>
        </is>
      </c>
      <c r="F154" s="5" t="inlineStr">
        <is>
          <t>hard2</t>
        </is>
      </c>
      <c r="G154" s="5" t="inlineStr">
        <is>
          <t>hard</t>
        </is>
      </c>
      <c r="H154" s="6" t="n">
        <v>0</v>
      </c>
      <c r="I154" s="6" t="n">
        <v>0</v>
      </c>
      <c r="J154" s="6" t="n">
        <v>0</v>
      </c>
      <c r="K154" s="6" t="n">
        <v>16</v>
      </c>
      <c r="L154" s="6" t="n">
        <v>10</v>
      </c>
      <c r="M154" s="6" t="n">
        <v>5</v>
      </c>
      <c r="N154" s="6" t="inlineStr">
        <is>
          <t>SUCCEEDED</t>
        </is>
      </c>
      <c r="O154" s="7" t="n">
        <v>300.996</v>
      </c>
      <c r="P154" s="7" t="n">
        <v>296.2938785552979</v>
      </c>
      <c r="Q154" s="7" t="n">
        <v>232.6300568580627</v>
      </c>
      <c r="R154" s="7" t="n">
        <v>242.3125698566437</v>
      </c>
      <c r="S154" s="8">
        <f>IF(N154="SUCCEEDED",P154/Q154,"")</f>
        <v/>
      </c>
      <c r="T154" s="8">
        <f>IF(N154="SUCCEEDED",P154/R154,"")</f>
        <v/>
      </c>
      <c r="U154" s="9">
        <f>IF(N154="SUCCEEDED",IF(D154="B0",O154-P154,O154-Q154),"")</f>
        <v/>
      </c>
      <c r="V154" s="7" t="n">
        <v>1.051942348480225</v>
      </c>
      <c r="W154" s="6" t="n">
        <v>0</v>
      </c>
      <c r="X154" s="7" t="n">
        <v>0</v>
      </c>
      <c r="Y154" s="6" t="n">
        <v>16</v>
      </c>
      <c r="Z154" s="6" t="n">
        <v>0</v>
      </c>
      <c r="AA154" s="6" t="n">
        <v>0</v>
      </c>
      <c r="AB154" s="6" t="n">
        <v>0</v>
      </c>
      <c r="AC154" s="10" t="n">
        <v>8236</v>
      </c>
      <c r="AD154" s="10" t="n">
        <v>19585</v>
      </c>
      <c r="AE154" s="10" t="n">
        <v>18889</v>
      </c>
      <c r="AF154" s="11" t="n">
        <v>0.288603</v>
      </c>
      <c r="AG154" s="11" t="n">
        <v>0.001996476633</v>
      </c>
      <c r="AH154" s="11" t="n">
        <v>0.0004</v>
      </c>
      <c r="AI154" s="12">
        <f>AF154+AG154+AH154</f>
        <v/>
      </c>
      <c r="AJ154" s="6" t="n">
        <v>0</v>
      </c>
      <c r="AK154" s="6" t="inlineStr"/>
    </row>
    <row r="155">
      <c r="A155" s="5" t="n">
        <v>2</v>
      </c>
      <c r="B155" s="5" t="n">
        <v>27</v>
      </c>
      <c r="C155" s="5" t="inlineStr">
        <is>
          <t>hard2_23</t>
        </is>
      </c>
      <c r="D155" s="5" t="inlineStr">
        <is>
          <t>A1</t>
        </is>
      </c>
      <c r="E155" s="5" t="inlineStr">
        <is>
          <t>2nd</t>
        </is>
      </c>
      <c r="F155" s="5" t="inlineStr">
        <is>
          <t>hard2</t>
        </is>
      </c>
      <c r="G155" s="5" t="inlineStr">
        <is>
          <t>hard</t>
        </is>
      </c>
      <c r="H155" s="6" t="n">
        <v>0</v>
      </c>
      <c r="I155" s="6" t="n">
        <v>0</v>
      </c>
      <c r="J155" s="6" t="n">
        <v>0</v>
      </c>
      <c r="K155" s="6" t="n">
        <v>16</v>
      </c>
      <c r="L155" s="6" t="n">
        <v>10</v>
      </c>
      <c r="M155" s="6" t="n">
        <v>5</v>
      </c>
      <c r="N155" s="6" t="inlineStr">
        <is>
          <t>SUCCEEDED</t>
        </is>
      </c>
      <c r="O155" s="7" t="n">
        <v>269.17</v>
      </c>
      <c r="P155" s="7" t="n">
        <v>313.9137301445007</v>
      </c>
      <c r="Q155" s="7" t="n">
        <v>267.2041866779327</v>
      </c>
      <c r="R155" s="7" t="n">
        <v>276.8091497421265</v>
      </c>
      <c r="S155" s="8">
        <f>IF(N155="SUCCEEDED",P155/Q155,"")</f>
        <v/>
      </c>
      <c r="T155" s="8">
        <f>IF(N155="SUCCEEDED",P155/R155,"")</f>
        <v/>
      </c>
      <c r="U155" s="9">
        <f>IF(N155="SUCCEEDED",IF(D155="B0",O155-P155,O155-Q155),"")</f>
        <v/>
      </c>
      <c r="V155" s="7" t="n">
        <v>781.8023493289948</v>
      </c>
      <c r="W155" s="6" t="n">
        <v>0</v>
      </c>
      <c r="X155" s="7" t="n">
        <v>0</v>
      </c>
      <c r="Y155" s="6" t="n">
        <v>16</v>
      </c>
      <c r="Z155" s="6" t="n">
        <v>0</v>
      </c>
      <c r="AA155" s="6" t="n">
        <v>0</v>
      </c>
      <c r="AB155" s="6" t="n">
        <v>0</v>
      </c>
      <c r="AC155" s="10" t="n">
        <v>8187</v>
      </c>
      <c r="AD155" s="10" t="n">
        <v>18382</v>
      </c>
      <c r="AE155" s="10" t="n">
        <v>17700</v>
      </c>
      <c r="AF155" s="11" t="n">
        <v>0.27167525</v>
      </c>
      <c r="AG155" s="11" t="n">
        <v>0.0073195165814</v>
      </c>
      <c r="AH155" s="11" t="n">
        <v>0.000425</v>
      </c>
      <c r="AI155" s="12">
        <f>AF155+AG155+AH155</f>
        <v/>
      </c>
      <c r="AJ155" s="6" t="n">
        <v>0</v>
      </c>
      <c r="AK155" s="6" t="inlineStr"/>
    </row>
    <row r="156">
      <c r="A156" s="5" t="n">
        <v>2</v>
      </c>
      <c r="B156" s="5" t="n">
        <v>28</v>
      </c>
      <c r="C156" s="5" t="inlineStr">
        <is>
          <t>protein_1CRN_query_6_mask_2</t>
        </is>
      </c>
      <c r="D156" s="5" t="inlineStr">
        <is>
          <t>A1</t>
        </is>
      </c>
      <c r="E156" s="5" t="inlineStr">
        <is>
          <t>1st</t>
        </is>
      </c>
      <c r="F156" s="5" t="inlineStr">
        <is>
          <t>med4</t>
        </is>
      </c>
      <c r="G156" s="5" t="inlineStr">
        <is>
          <t>medium</t>
        </is>
      </c>
      <c r="H156" s="6" t="n">
        <v>0</v>
      </c>
      <c r="I156" s="6" t="n">
        <v>0</v>
      </c>
      <c r="J156" s="6" t="n">
        <v>0</v>
      </c>
      <c r="K156" s="6" t="n">
        <v>6</v>
      </c>
      <c r="L156" s="6" t="n">
        <v>5</v>
      </c>
      <c r="M156" s="6" t="n">
        <v>2</v>
      </c>
      <c r="N156" s="6" t="inlineStr">
        <is>
          <t>SUCCEEDED</t>
        </is>
      </c>
      <c r="O156" s="7" t="n">
        <v>116.744</v>
      </c>
      <c r="P156" s="7" t="n">
        <v>124.1241927146912</v>
      </c>
      <c r="Q156" s="7" t="n">
        <v>115.6033508777618</v>
      </c>
      <c r="R156" s="7" t="n">
        <v>115.6033508777618</v>
      </c>
      <c r="S156" s="8">
        <f>IF(N156="SUCCEEDED",P156/Q156,"")</f>
        <v/>
      </c>
      <c r="T156" s="8">
        <f>IF(N156="SUCCEEDED",P156/R156,"")</f>
        <v/>
      </c>
      <c r="U156" s="9">
        <f>IF(N156="SUCCEEDED",IF(D156="B0",O156-P156,O156-Q156),"")</f>
        <v/>
      </c>
      <c r="V156" s="7" t="n">
        <v>212.6352095603943</v>
      </c>
      <c r="W156" s="6" t="n">
        <v>0</v>
      </c>
      <c r="X156" s="7" t="n">
        <v>0</v>
      </c>
      <c r="Y156" s="6" t="n">
        <v>6</v>
      </c>
      <c r="Z156" s="6" t="n">
        <v>0</v>
      </c>
      <c r="AA156" s="6" t="n">
        <v>0</v>
      </c>
      <c r="AB156" s="6" t="n">
        <v>0</v>
      </c>
      <c r="AC156" s="10" t="n">
        <v>70783</v>
      </c>
      <c r="AD156" s="10" t="n">
        <v>9644</v>
      </c>
      <c r="AE156" s="10" t="n">
        <v>9446</v>
      </c>
      <c r="AF156" s="11" t="n">
        <v>0.25888625</v>
      </c>
      <c r="AG156" s="11" t="n">
        <v>0.0022503312456</v>
      </c>
      <c r="AH156" s="11" t="n">
        <v>0.000175</v>
      </c>
      <c r="AI156" s="12">
        <f>AF156+AG156+AH156</f>
        <v/>
      </c>
      <c r="AJ156" s="6" t="n">
        <v>0</v>
      </c>
      <c r="AK156" s="6" t="inlineStr"/>
    </row>
    <row r="157">
      <c r="A157" s="5" t="n">
        <v>2</v>
      </c>
      <c r="B157" s="5" t="n">
        <v>28</v>
      </c>
      <c r="C157" s="5" t="inlineStr">
        <is>
          <t>protein_1CRN_query_6_mask_2</t>
        </is>
      </c>
      <c r="D157" s="5" t="inlineStr">
        <is>
          <t>B0</t>
        </is>
      </c>
      <c r="E157" s="5" t="inlineStr">
        <is>
          <t>2nd</t>
        </is>
      </c>
      <c r="F157" s="5" t="inlineStr">
        <is>
          <t>med4</t>
        </is>
      </c>
      <c r="G157" s="5" t="inlineStr">
        <is>
          <t>medium</t>
        </is>
      </c>
      <c r="H157" s="6" t="n">
        <v>0</v>
      </c>
      <c r="I157" s="6" t="n">
        <v>0</v>
      </c>
      <c r="J157" s="6" t="n">
        <v>0</v>
      </c>
      <c r="K157" s="6" t="n">
        <v>6</v>
      </c>
      <c r="L157" s="6" t="n">
        <v>5</v>
      </c>
      <c r="M157" s="6" t="n">
        <v>2</v>
      </c>
      <c r="N157" s="6" t="inlineStr">
        <is>
          <t>SUCCEEDED</t>
        </is>
      </c>
      <c r="O157" s="7" t="n">
        <v>129.201</v>
      </c>
      <c r="P157" s="7" t="n">
        <v>127.3839564323425</v>
      </c>
      <c r="Q157" s="7" t="n">
        <v>118.670197725296</v>
      </c>
      <c r="R157" s="7" t="n">
        <v>118.670197725296</v>
      </c>
      <c r="S157" s="8">
        <f>IF(N157="SUCCEEDED",P157/Q157,"")</f>
        <v/>
      </c>
      <c r="T157" s="8">
        <f>IF(N157="SUCCEEDED",P157/R157,"")</f>
        <v/>
      </c>
      <c r="U157" s="9">
        <f>IF(N157="SUCCEEDED",IF(D157="B0",O157-P157,O157-Q157),"")</f>
        <v/>
      </c>
      <c r="V157" s="7" t="n">
        <v>0.4579501152038574</v>
      </c>
      <c r="W157" s="6" t="n">
        <v>0</v>
      </c>
      <c r="X157" s="7" t="n">
        <v>0</v>
      </c>
      <c r="Y157" s="6" t="n">
        <v>6</v>
      </c>
      <c r="Z157" s="6" t="n">
        <v>0</v>
      </c>
      <c r="AA157" s="6" t="n">
        <v>0</v>
      </c>
      <c r="AB157" s="6" t="n">
        <v>0</v>
      </c>
      <c r="AC157" s="10" t="n">
        <v>70791</v>
      </c>
      <c r="AD157" s="10" t="n">
        <v>9056</v>
      </c>
      <c r="AE157" s="10" t="n">
        <v>8856</v>
      </c>
      <c r="AF157" s="11" t="n">
        <v>0.25066825</v>
      </c>
      <c r="AG157" s="11" t="n">
        <v>0.0008579442837</v>
      </c>
      <c r="AH157" s="11" t="n">
        <v>0.00015</v>
      </c>
      <c r="AI157" s="12">
        <f>AF157+AG157+AH157</f>
        <v/>
      </c>
      <c r="AJ157" s="6" t="n">
        <v>0</v>
      </c>
      <c r="AK157" s="6" t="inlineStr"/>
    </row>
    <row r="158">
      <c r="A158" s="5" t="n">
        <v>2</v>
      </c>
      <c r="B158" s="5" t="n">
        <v>29</v>
      </c>
      <c r="C158" s="5" t="inlineStr">
        <is>
          <t>protein_1CAD_query_9_mask_2</t>
        </is>
      </c>
      <c r="D158" s="5" t="inlineStr">
        <is>
          <t>B0</t>
        </is>
      </c>
      <c r="E158" s="5" t="inlineStr">
        <is>
          <t>1st</t>
        </is>
      </c>
      <c r="F158" s="5" t="inlineStr">
        <is>
          <t>med4</t>
        </is>
      </c>
      <c r="G158" s="5" t="inlineStr">
        <is>
          <t>medium</t>
        </is>
      </c>
      <c r="H158" s="6" t="n">
        <v>0</v>
      </c>
      <c r="I158" s="6" t="n">
        <v>0</v>
      </c>
      <c r="J158" s="6" t="n">
        <v>0</v>
      </c>
      <c r="K158" s="6" t="n">
        <v>6</v>
      </c>
      <c r="L158" s="6" t="n">
        <v>5</v>
      </c>
      <c r="M158" s="6" t="n">
        <v>2</v>
      </c>
      <c r="N158" s="6" t="inlineStr">
        <is>
          <t>SUCCEEDED</t>
        </is>
      </c>
      <c r="O158" s="7" t="n">
        <v>119.261</v>
      </c>
      <c r="P158" s="7" t="n">
        <v>117.398252248764</v>
      </c>
      <c r="Q158" s="7" t="n">
        <v>108.056539773941</v>
      </c>
      <c r="R158" s="7" t="n">
        <v>108.056539773941</v>
      </c>
      <c r="S158" s="8">
        <f>IF(N158="SUCCEEDED",P158/Q158,"")</f>
        <v/>
      </c>
      <c r="T158" s="8">
        <f>IF(N158="SUCCEEDED",P158/R158,"")</f>
        <v/>
      </c>
      <c r="U158" s="9">
        <f>IF(N158="SUCCEEDED",IF(D158="B0",O158-P158,O158-Q158),"")</f>
        <v/>
      </c>
      <c r="V158" s="7" t="n">
        <v>0.5029153823852539</v>
      </c>
      <c r="W158" s="6" t="n">
        <v>0</v>
      </c>
      <c r="X158" s="7" t="n">
        <v>0</v>
      </c>
      <c r="Y158" s="6" t="n">
        <v>6</v>
      </c>
      <c r="Z158" s="6" t="n">
        <v>0</v>
      </c>
      <c r="AA158" s="6" t="n">
        <v>0</v>
      </c>
      <c r="AB158" s="6" t="n">
        <v>0</v>
      </c>
      <c r="AC158" s="10" t="n">
        <v>89427</v>
      </c>
      <c r="AD158" s="10" t="n">
        <v>8835</v>
      </c>
      <c r="AE158" s="10" t="n">
        <v>8639</v>
      </c>
      <c r="AF158" s="11" t="n">
        <v>0.28018725</v>
      </c>
      <c r="AG158" s="11" t="n">
        <v>0.0007914372845</v>
      </c>
      <c r="AH158" s="11" t="n">
        <v>0.00015</v>
      </c>
      <c r="AI158" s="12">
        <f>AF158+AG158+AH158</f>
        <v/>
      </c>
      <c r="AJ158" s="6" t="n">
        <v>0</v>
      </c>
      <c r="AK158" s="6" t="inlineStr"/>
    </row>
    <row r="159">
      <c r="A159" s="5" t="n">
        <v>2</v>
      </c>
      <c r="B159" s="5" t="n">
        <v>29</v>
      </c>
      <c r="C159" s="5" t="inlineStr">
        <is>
          <t>protein_1CAD_query_9_mask_2</t>
        </is>
      </c>
      <c r="D159" s="5" t="inlineStr">
        <is>
          <t>A1</t>
        </is>
      </c>
      <c r="E159" s="5" t="inlineStr">
        <is>
          <t>2nd</t>
        </is>
      </c>
      <c r="F159" s="5" t="inlineStr">
        <is>
          <t>med4</t>
        </is>
      </c>
      <c r="G159" s="5" t="inlineStr">
        <is>
          <t>medium</t>
        </is>
      </c>
      <c r="H159" s="6" t="n">
        <v>0</v>
      </c>
      <c r="I159" s="6" t="n">
        <v>0</v>
      </c>
      <c r="J159" s="6" t="n">
        <v>0</v>
      </c>
      <c r="K159" s="6" t="n">
        <v>6</v>
      </c>
      <c r="L159" s="6" t="n">
        <v>5</v>
      </c>
      <c r="M159" s="6" t="n">
        <v>2</v>
      </c>
      <c r="N159" s="6" t="inlineStr">
        <is>
          <t>SUCCEEDED</t>
        </is>
      </c>
      <c r="O159" s="7" t="n">
        <v>70.559</v>
      </c>
      <c r="P159" s="7" t="n">
        <v>77.79899954795837</v>
      </c>
      <c r="Q159" s="7" t="n">
        <v>69.59542560577393</v>
      </c>
      <c r="R159" s="7" t="n">
        <v>69.59542560577393</v>
      </c>
      <c r="S159" s="8">
        <f>IF(N159="SUCCEEDED",P159/Q159,"")</f>
        <v/>
      </c>
      <c r="T159" s="8">
        <f>IF(N159="SUCCEEDED",P159/R159,"")</f>
        <v/>
      </c>
      <c r="U159" s="9">
        <f>IF(N159="SUCCEEDED",IF(D159="B0",O159-P159,O159-Q159),"")</f>
        <v/>
      </c>
      <c r="V159" s="7" t="n">
        <v>118.2851283550262</v>
      </c>
      <c r="W159" s="6" t="n">
        <v>0</v>
      </c>
      <c r="X159" s="7" t="n">
        <v>0</v>
      </c>
      <c r="Y159" s="6" t="n">
        <v>6</v>
      </c>
      <c r="Z159" s="6" t="n">
        <v>0</v>
      </c>
      <c r="AA159" s="6" t="n">
        <v>0</v>
      </c>
      <c r="AB159" s="6" t="n">
        <v>0</v>
      </c>
      <c r="AC159" s="10" t="n">
        <v>89427</v>
      </c>
      <c r="AD159" s="10" t="n">
        <v>5747</v>
      </c>
      <c r="AE159" s="10" t="n">
        <v>5556</v>
      </c>
      <c r="AF159" s="11" t="n">
        <v>0.23695525</v>
      </c>
      <c r="AG159" s="11" t="n">
        <v>0.00131253989</v>
      </c>
      <c r="AH159" s="11" t="n">
        <v>0.000175</v>
      </c>
      <c r="AI159" s="12">
        <f>AF159+AG159+AH159</f>
        <v/>
      </c>
      <c r="AJ159" s="6" t="n">
        <v>0</v>
      </c>
      <c r="AK159" s="6" t="inlineStr"/>
    </row>
    <row r="160">
      <c r="A160" s="5" t="n">
        <v>2</v>
      </c>
      <c r="B160" s="5" t="n">
        <v>30</v>
      </c>
      <c r="C160" s="5" t="inlineStr">
        <is>
          <t>protein_8RXN_query_10_mask_2</t>
        </is>
      </c>
      <c r="D160" s="5" t="inlineStr">
        <is>
          <t>A1</t>
        </is>
      </c>
      <c r="E160" s="5" t="inlineStr">
        <is>
          <t>1st</t>
        </is>
      </c>
      <c r="F160" s="5" t="inlineStr">
        <is>
          <t>med4</t>
        </is>
      </c>
      <c r="G160" s="5" t="inlineStr">
        <is>
          <t>medium</t>
        </is>
      </c>
      <c r="H160" s="6" t="n">
        <v>0</v>
      </c>
      <c r="I160" s="6" t="n">
        <v>0</v>
      </c>
      <c r="J160" s="6" t="n">
        <v>0</v>
      </c>
      <c r="K160" s="6" t="n">
        <v>6</v>
      </c>
      <c r="L160" s="6" t="n">
        <v>5</v>
      </c>
      <c r="M160" s="6" t="n">
        <v>2</v>
      </c>
      <c r="N160" s="6" t="inlineStr">
        <is>
          <t>SUCCEEDED</t>
        </is>
      </c>
      <c r="O160" s="7" t="n">
        <v>114.837</v>
      </c>
      <c r="P160" s="7" t="n">
        <v>122.5851676464081</v>
      </c>
      <c r="Q160" s="7" t="n">
        <v>113.5453209877014</v>
      </c>
      <c r="R160" s="7" t="n">
        <v>113.5453209877014</v>
      </c>
      <c r="S160" s="8">
        <f>IF(N160="SUCCEEDED",P160/Q160,"")</f>
        <v/>
      </c>
      <c r="T160" s="8">
        <f>IF(N160="SUCCEEDED",P160/R160,"")</f>
        <v/>
      </c>
      <c r="U160" s="9">
        <f>IF(N160="SUCCEEDED",IF(D160="B0",O160-P160,O160-Q160),"")</f>
        <v/>
      </c>
      <c r="V160" s="7" t="n">
        <v>189.6728734970093</v>
      </c>
      <c r="W160" s="6" t="n">
        <v>0</v>
      </c>
      <c r="X160" s="7" t="n">
        <v>0</v>
      </c>
      <c r="Y160" s="6" t="n">
        <v>6</v>
      </c>
      <c r="Z160" s="6" t="n">
        <v>0</v>
      </c>
      <c r="AA160" s="6" t="n">
        <v>0</v>
      </c>
      <c r="AB160" s="6" t="n">
        <v>0</v>
      </c>
      <c r="AC160" s="10" t="n">
        <v>85640</v>
      </c>
      <c r="AD160" s="10" t="n">
        <v>10061</v>
      </c>
      <c r="AE160" s="10" t="n">
        <v>9847</v>
      </c>
      <c r="AF160" s="11" t="n">
        <v>0.290724</v>
      </c>
      <c r="AG160" s="11" t="n">
        <v>0.0020873637641</v>
      </c>
      <c r="AH160" s="11" t="n">
        <v>0.000175</v>
      </c>
      <c r="AI160" s="12">
        <f>AF160+AG160+AH160</f>
        <v/>
      </c>
      <c r="AJ160" s="6" t="n">
        <v>0</v>
      </c>
      <c r="AK160" s="6" t="inlineStr"/>
    </row>
    <row r="161">
      <c r="A161" s="5" t="n">
        <v>2</v>
      </c>
      <c r="B161" s="5" t="n">
        <v>30</v>
      </c>
      <c r="C161" s="5" t="inlineStr">
        <is>
          <t>protein_8RXN_query_10_mask_2</t>
        </is>
      </c>
      <c r="D161" s="5" t="inlineStr">
        <is>
          <t>B0</t>
        </is>
      </c>
      <c r="E161" s="5" t="inlineStr">
        <is>
          <t>2nd</t>
        </is>
      </c>
      <c r="F161" s="5" t="inlineStr">
        <is>
          <t>med4</t>
        </is>
      </c>
      <c r="G161" s="5" t="inlineStr">
        <is>
          <t>medium</t>
        </is>
      </c>
      <c r="H161" s="6" t="n">
        <v>0</v>
      </c>
      <c r="I161" s="6" t="n">
        <v>0</v>
      </c>
      <c r="J161" s="6" t="n">
        <v>0</v>
      </c>
      <c r="K161" s="6" t="n">
        <v>6</v>
      </c>
      <c r="L161" s="6" t="n">
        <v>5</v>
      </c>
      <c r="M161" s="6" t="n">
        <v>2</v>
      </c>
      <c r="N161" s="6" t="inlineStr">
        <is>
          <t>SUCCEEDED</t>
        </is>
      </c>
      <c r="O161" s="7" t="n">
        <v>146.068</v>
      </c>
      <c r="P161" s="7" t="n">
        <v>144.1993727684021</v>
      </c>
      <c r="Q161" s="7" t="n">
        <v>136.720685005188</v>
      </c>
      <c r="R161" s="7" t="n">
        <v>136.720685005188</v>
      </c>
      <c r="S161" s="8">
        <f>IF(N161="SUCCEEDED",P161/Q161,"")</f>
        <v/>
      </c>
      <c r="T161" s="8">
        <f>IF(N161="SUCCEEDED",P161/R161,"")</f>
        <v/>
      </c>
      <c r="U161" s="9">
        <f>IF(N161="SUCCEEDED",IF(D161="B0",O161-P161,O161-Q161),"")</f>
        <v/>
      </c>
      <c r="V161" s="7" t="n">
        <v>0.4903397560119629</v>
      </c>
      <c r="W161" s="6" t="n">
        <v>0</v>
      </c>
      <c r="X161" s="7" t="n">
        <v>0</v>
      </c>
      <c r="Y161" s="6" t="n">
        <v>6</v>
      </c>
      <c r="Z161" s="6" t="n">
        <v>0</v>
      </c>
      <c r="AA161" s="6" t="n">
        <v>0</v>
      </c>
      <c r="AB161" s="6" t="n">
        <v>0</v>
      </c>
      <c r="AC161" s="10" t="n">
        <v>85645</v>
      </c>
      <c r="AD161" s="10" t="n">
        <v>10552</v>
      </c>
      <c r="AE161" s="10" t="n">
        <v>10330</v>
      </c>
      <c r="AF161" s="11" t="n">
        <v>0.29760675</v>
      </c>
      <c r="AG161" s="11" t="n">
        <v>0.0009701981783</v>
      </c>
      <c r="AH161" s="11" t="n">
        <v>0.00015</v>
      </c>
      <c r="AI161" s="12">
        <f>AF161+AG161+AH161</f>
        <v/>
      </c>
      <c r="AJ161" s="6" t="n">
        <v>0</v>
      </c>
      <c r="AK161" s="6" t="inlineStr"/>
    </row>
    <row r="162">
      <c r="A162" s="5" t="n">
        <v>2</v>
      </c>
      <c r="B162" s="5" t="n">
        <v>31</v>
      </c>
      <c r="C162" s="5" t="inlineStr">
        <is>
          <t>easy2_31</t>
        </is>
      </c>
      <c r="D162" s="5" t="inlineStr">
        <is>
          <t>B0</t>
        </is>
      </c>
      <c r="E162" s="5" t="inlineStr">
        <is>
          <t>1st</t>
        </is>
      </c>
      <c r="F162" s="5" t="inlineStr">
        <is>
          <t>easy2</t>
        </is>
      </c>
      <c r="G162" s="5" t="inlineStr">
        <is>
          <t>easy</t>
        </is>
      </c>
      <c r="H162" s="6" t="n">
        <v>1</v>
      </c>
      <c r="I162" s="6" t="n">
        <v>0</v>
      </c>
      <c r="J162" s="6" t="n">
        <v>1</v>
      </c>
      <c r="K162" s="6" t="n">
        <v>5</v>
      </c>
      <c r="L162" s="6" t="n">
        <v>4</v>
      </c>
      <c r="M162" s="6" t="n">
        <v>2</v>
      </c>
      <c r="N162" s="6" t="inlineStr">
        <is>
          <t>SUCCEEDED</t>
        </is>
      </c>
      <c r="O162" s="7" t="n">
        <v>124.849</v>
      </c>
      <c r="P162" s="7" t="n">
        <v>123.4591617584229</v>
      </c>
      <c r="Q162" s="7" t="n">
        <v>115.4016256332397</v>
      </c>
      <c r="R162" s="7" t="n">
        <v>115.4016256332397</v>
      </c>
      <c r="S162" s="8">
        <f>IF(N162="SUCCEEDED",P162/Q162,"")</f>
        <v/>
      </c>
      <c r="T162" s="8">
        <f>IF(N162="SUCCEEDED",P162/R162,"")</f>
        <v/>
      </c>
      <c r="U162" s="9">
        <f>IF(N162="SUCCEEDED",IF(D162="B0",O162-P162,O162-Q162),"")</f>
        <v/>
      </c>
      <c r="V162" s="7" t="n">
        <v>0.2578659057617188</v>
      </c>
      <c r="W162" s="6" t="n">
        <v>0</v>
      </c>
      <c r="X162" s="7" t="n">
        <v>0</v>
      </c>
      <c r="Y162" s="6" t="n">
        <v>5</v>
      </c>
      <c r="Z162" s="6" t="n">
        <v>0</v>
      </c>
      <c r="AA162" s="6" t="n">
        <v>0</v>
      </c>
      <c r="AB162" s="6" t="n">
        <v>0</v>
      </c>
      <c r="AC162" s="10" t="n">
        <v>2489</v>
      </c>
      <c r="AD162" s="10" t="n">
        <v>8540</v>
      </c>
      <c r="AE162" s="10" t="n">
        <v>8097</v>
      </c>
      <c r="AF162" s="11" t="n">
        <v>0.12391575</v>
      </c>
      <c r="AG162" s="11" t="n">
        <v>0.0008294574756000001</v>
      </c>
      <c r="AH162" s="11" t="n">
        <v>0.000125</v>
      </c>
      <c r="AI162" s="12">
        <f>AF162+AG162+AH162</f>
        <v/>
      </c>
      <c r="AJ162" s="6" t="n">
        <v>0</v>
      </c>
      <c r="AK162" s="6" t="inlineStr">
        <is>
          <t>yes</t>
        </is>
      </c>
    </row>
    <row r="163">
      <c r="A163" s="5" t="n">
        <v>2</v>
      </c>
      <c r="B163" s="5" t="n">
        <v>31</v>
      </c>
      <c r="C163" s="5" t="inlineStr">
        <is>
          <t>easy2_31</t>
        </is>
      </c>
      <c r="D163" s="5" t="inlineStr">
        <is>
          <t>A1</t>
        </is>
      </c>
      <c r="E163" s="5" t="inlineStr">
        <is>
          <t>2nd</t>
        </is>
      </c>
      <c r="F163" s="5" t="inlineStr">
        <is>
          <t>easy2</t>
        </is>
      </c>
      <c r="G163" s="5" t="inlineStr">
        <is>
          <t>easy</t>
        </is>
      </c>
      <c r="H163" s="6" t="n">
        <v>1</v>
      </c>
      <c r="I163" s="6" t="n">
        <v>0</v>
      </c>
      <c r="J163" s="6" t="n">
        <v>1</v>
      </c>
      <c r="K163" s="6" t="n">
        <v>5</v>
      </c>
      <c r="L163" s="6" t="n">
        <v>4</v>
      </c>
      <c r="M163" s="6" t="n">
        <v>2</v>
      </c>
      <c r="N163" s="6" t="inlineStr">
        <is>
          <t>SUCCEEDED</t>
        </is>
      </c>
      <c r="O163" s="7" t="n">
        <v>82.568</v>
      </c>
      <c r="P163" s="7" t="n">
        <v>88.74486923217773</v>
      </c>
      <c r="Q163" s="7" t="n">
        <v>81.71925139427185</v>
      </c>
      <c r="R163" s="7" t="n">
        <v>81.71925139427185</v>
      </c>
      <c r="S163" s="8">
        <f>IF(N163="SUCCEEDED",P163/Q163,"")</f>
        <v/>
      </c>
      <c r="T163" s="8">
        <f>IF(N163="SUCCEEDED",P163/R163,"")</f>
        <v/>
      </c>
      <c r="U163" s="9">
        <f>IF(N163="SUCCEEDED",IF(D163="B0",O163-P163,O163-Q163),"")</f>
        <v/>
      </c>
      <c r="V163" s="7" t="n">
        <v>136.7200560569763</v>
      </c>
      <c r="W163" s="6" t="n">
        <v>0</v>
      </c>
      <c r="X163" s="7" t="n">
        <v>0</v>
      </c>
      <c r="Y163" s="6" t="n">
        <v>5</v>
      </c>
      <c r="Z163" s="6" t="n">
        <v>0</v>
      </c>
      <c r="AA163" s="6" t="n">
        <v>0</v>
      </c>
      <c r="AB163" s="6" t="n">
        <v>0</v>
      </c>
      <c r="AC163" s="10" t="n">
        <v>2463</v>
      </c>
      <c r="AD163" s="10" t="n">
        <v>6290</v>
      </c>
      <c r="AE163" s="10" t="n">
        <v>5868</v>
      </c>
      <c r="AF163" s="11" t="n">
        <v>0.09237024999999999</v>
      </c>
      <c r="AG163" s="11" t="n">
        <v>0.0015077675338</v>
      </c>
      <c r="AH163" s="11" t="n">
        <v>0.00015</v>
      </c>
      <c r="AI163" s="12">
        <f>AF163+AG163+AH163</f>
        <v/>
      </c>
      <c r="AJ163" s="6" t="n">
        <v>0</v>
      </c>
      <c r="AK163" s="6" t="inlineStr">
        <is>
          <t>yes</t>
        </is>
      </c>
    </row>
    <row r="164">
      <c r="A164" s="5" t="n">
        <v>2</v>
      </c>
      <c r="B164" s="5" t="n">
        <v>32</v>
      </c>
      <c r="C164" s="5" t="inlineStr">
        <is>
          <t>easy2_17</t>
        </is>
      </c>
      <c r="D164" s="5" t="inlineStr">
        <is>
          <t>A1</t>
        </is>
      </c>
      <c r="E164" s="5" t="inlineStr">
        <is>
          <t>1st</t>
        </is>
      </c>
      <c r="F164" s="5" t="inlineStr">
        <is>
          <t>easy2</t>
        </is>
      </c>
      <c r="G164" s="5" t="inlineStr">
        <is>
          <t>easy</t>
        </is>
      </c>
      <c r="H164" s="6" t="n">
        <v>1</v>
      </c>
      <c r="I164" s="6" t="n">
        <v>0</v>
      </c>
      <c r="J164" s="6" t="n">
        <v>1</v>
      </c>
      <c r="K164" s="6" t="n">
        <v>5</v>
      </c>
      <c r="L164" s="6" t="n">
        <v>4</v>
      </c>
      <c r="M164" s="6" t="n">
        <v>2</v>
      </c>
      <c r="N164" s="6" t="inlineStr">
        <is>
          <t>FAILED</t>
        </is>
      </c>
      <c r="O164" s="7" t="n">
        <v>80.178</v>
      </c>
      <c r="P164" s="7" t="inlineStr"/>
      <c r="Q164" s="7" t="inlineStr"/>
      <c r="R164" s="7" t="inlineStr"/>
      <c r="S164" s="8">
        <f>IF(N164="SUCCEEDED",P164/Q164,"")</f>
        <v/>
      </c>
      <c r="T164" s="8">
        <f>IF(N164="SUCCEEDED",P164/R164,"")</f>
        <v/>
      </c>
      <c r="U164" s="9">
        <f>IF(N164="SUCCEEDED",IF(D164="B0",O164-P164,O164-Q164),"")</f>
        <v/>
      </c>
      <c r="V164" s="7" t="n">
        <v>113.5440473556519</v>
      </c>
      <c r="W164" s="6" t="n">
        <v>0</v>
      </c>
      <c r="X164" s="7" t="n">
        <v>0</v>
      </c>
      <c r="Y164" s="6" t="n">
        <v>7</v>
      </c>
      <c r="Z164" s="6" t="n">
        <v>2</v>
      </c>
      <c r="AA164" s="6" t="n">
        <v>3</v>
      </c>
      <c r="AB164" s="6" t="n">
        <v>0</v>
      </c>
      <c r="AC164" s="10" t="n">
        <v>1957</v>
      </c>
      <c r="AD164" s="10" t="n">
        <v>4601</v>
      </c>
      <c r="AE164" s="10" t="n">
        <v>4290</v>
      </c>
      <c r="AF164" s="11" t="n">
        <v>0.06783875</v>
      </c>
      <c r="AG164" s="11" t="n">
        <v>0.0012413661998</v>
      </c>
      <c r="AH164" s="11" t="n">
        <v>0.0002</v>
      </c>
      <c r="AI164" s="12">
        <f>AF164+AG164+AH164</f>
        <v/>
      </c>
      <c r="AJ164" s="6" t="n">
        <v>0</v>
      </c>
      <c r="AK164" s="6" t="inlineStr">
        <is>
          <t>no</t>
        </is>
      </c>
    </row>
    <row r="165">
      <c r="A165" s="5" t="n">
        <v>2</v>
      </c>
      <c r="B165" s="5" t="n">
        <v>32</v>
      </c>
      <c r="C165" s="5" t="inlineStr">
        <is>
          <t>easy2_17</t>
        </is>
      </c>
      <c r="D165" s="5" t="inlineStr">
        <is>
          <t>B0</t>
        </is>
      </c>
      <c r="E165" s="5" t="inlineStr">
        <is>
          <t>2nd</t>
        </is>
      </c>
      <c r="F165" s="5" t="inlineStr">
        <is>
          <t>easy2</t>
        </is>
      </c>
      <c r="G165" s="5" t="inlineStr">
        <is>
          <t>easy</t>
        </is>
      </c>
      <c r="H165" s="6" t="n">
        <v>1</v>
      </c>
      <c r="I165" s="6" t="n">
        <v>0</v>
      </c>
      <c r="J165" s="6" t="n">
        <v>1</v>
      </c>
      <c r="K165" s="6" t="n">
        <v>5</v>
      </c>
      <c r="L165" s="6" t="n">
        <v>4</v>
      </c>
      <c r="M165" s="6" t="n">
        <v>2</v>
      </c>
      <c r="N165" s="6" t="inlineStr">
        <is>
          <t>SUCCEEDED</t>
        </is>
      </c>
      <c r="O165" s="7" t="n">
        <v>67.97199999999999</v>
      </c>
      <c r="P165" s="7" t="n">
        <v>66.59794163703918</v>
      </c>
      <c r="Q165" s="7" t="n">
        <v>58.1787588596344</v>
      </c>
      <c r="R165" s="7" t="n">
        <v>58.1787588596344</v>
      </c>
      <c r="S165" s="8">
        <f>IF(N165="SUCCEEDED",P165/Q165,"")</f>
        <v/>
      </c>
      <c r="T165" s="8">
        <f>IF(N165="SUCCEEDED",P165/R165,"")</f>
        <v/>
      </c>
      <c r="U165" s="9">
        <f>IF(N165="SUCCEEDED",IF(D165="B0",O165-P165,O165-Q165),"")</f>
        <v/>
      </c>
      <c r="V165" s="7" t="n">
        <v>0.2383294105529785</v>
      </c>
      <c r="W165" s="6" t="n">
        <v>0</v>
      </c>
      <c r="X165" s="7" t="n">
        <v>0</v>
      </c>
      <c r="Y165" s="6" t="n">
        <v>5</v>
      </c>
      <c r="Z165" s="6" t="n">
        <v>0</v>
      </c>
      <c r="AA165" s="6" t="n">
        <v>0</v>
      </c>
      <c r="AB165" s="6" t="n">
        <v>0</v>
      </c>
      <c r="AC165" s="10" t="n">
        <v>2460</v>
      </c>
      <c r="AD165" s="10" t="n">
        <v>4537</v>
      </c>
      <c r="AE165" s="10" t="n">
        <v>4091</v>
      </c>
      <c r="AF165" s="11" t="n">
        <v>0.06782300000000001</v>
      </c>
      <c r="AG165" s="11" t="n">
        <v>0.0004505155809</v>
      </c>
      <c r="AH165" s="11" t="n">
        <v>0.000125</v>
      </c>
      <c r="AI165" s="12">
        <f>AF165+AG165+AH165</f>
        <v/>
      </c>
      <c r="AJ165" s="6" t="n">
        <v>0</v>
      </c>
      <c r="AK165" s="6" t="inlineStr">
        <is>
          <t>no</t>
        </is>
      </c>
    </row>
    <row r="166">
      <c r="A166" s="5" t="n">
        <v>2</v>
      </c>
      <c r="B166" s="5" t="n">
        <v>33</v>
      </c>
      <c r="C166" s="5" t="inlineStr">
        <is>
          <t>hard3_3</t>
        </is>
      </c>
      <c r="D166" s="5" t="inlineStr">
        <is>
          <t>B0</t>
        </is>
      </c>
      <c r="E166" s="5" t="inlineStr">
        <is>
          <t>1st</t>
        </is>
      </c>
      <c r="F166" s="5" t="inlineStr">
        <is>
          <t>hard3</t>
        </is>
      </c>
      <c r="G166" s="5" t="inlineStr">
        <is>
          <t>hard</t>
        </is>
      </c>
      <c r="H166" s="6" t="n">
        <v>0</v>
      </c>
      <c r="I166" s="6" t="n">
        <v>0</v>
      </c>
      <c r="J166" s="6" t="n">
        <v>0</v>
      </c>
      <c r="K166" s="6" t="n">
        <v>15</v>
      </c>
      <c r="L166" s="6" t="n">
        <v>9</v>
      </c>
      <c r="M166" s="6" t="n">
        <v>4</v>
      </c>
      <c r="N166" s="6" t="inlineStr">
        <is>
          <t>SUCCEEDED</t>
        </is>
      </c>
      <c r="O166" s="7" t="n">
        <v>295.323</v>
      </c>
      <c r="P166" s="7" t="n">
        <v>290.8832983970642</v>
      </c>
      <c r="Q166" s="7" t="n">
        <v>198.8544480800629</v>
      </c>
      <c r="R166" s="7" t="n">
        <v>226.4411675930023</v>
      </c>
      <c r="S166" s="8">
        <f>IF(N166="SUCCEEDED",P166/Q166,"")</f>
        <v/>
      </c>
      <c r="T166" s="8">
        <f>IF(N166="SUCCEEDED",P166/R166,"")</f>
        <v/>
      </c>
      <c r="U166" s="9">
        <f>IF(N166="SUCCEEDED",IF(D166="B0",O166-P166,O166-Q166),"")</f>
        <v/>
      </c>
      <c r="V166" s="7" t="n">
        <v>1.181360960006714</v>
      </c>
      <c r="W166" s="6" t="n">
        <v>0</v>
      </c>
      <c r="X166" s="7" t="n">
        <v>0</v>
      </c>
      <c r="Y166" s="6" t="n">
        <v>15</v>
      </c>
      <c r="Z166" s="6" t="n">
        <v>0</v>
      </c>
      <c r="AA166" s="6" t="n">
        <v>0</v>
      </c>
      <c r="AB166" s="6" t="n">
        <v>0</v>
      </c>
      <c r="AC166" s="10" t="n">
        <v>8132</v>
      </c>
      <c r="AD166" s="10" t="n">
        <v>18693</v>
      </c>
      <c r="AE166" s="10" t="n">
        <v>18113</v>
      </c>
      <c r="AF166" s="11" t="n">
        <v>0.275933</v>
      </c>
      <c r="AG166" s="11" t="n">
        <v>0.0019603897869</v>
      </c>
      <c r="AH166" s="11" t="n">
        <v>0.000375</v>
      </c>
      <c r="AI166" s="12">
        <f>AF166+AG166+AH166</f>
        <v/>
      </c>
      <c r="AJ166" s="6" t="n">
        <v>0</v>
      </c>
      <c r="AK166" s="6" t="inlineStr"/>
    </row>
    <row r="167">
      <c r="A167" s="5" t="n">
        <v>2</v>
      </c>
      <c r="B167" s="5" t="n">
        <v>33</v>
      </c>
      <c r="C167" s="5" t="inlineStr">
        <is>
          <t>hard3_3</t>
        </is>
      </c>
      <c r="D167" s="5" t="inlineStr">
        <is>
          <t>A1</t>
        </is>
      </c>
      <c r="E167" s="5" t="inlineStr">
        <is>
          <t>2nd</t>
        </is>
      </c>
      <c r="F167" s="5" t="inlineStr">
        <is>
          <t>hard3</t>
        </is>
      </c>
      <c r="G167" s="5" t="inlineStr">
        <is>
          <t>hard</t>
        </is>
      </c>
      <c r="H167" s="6" t="n">
        <v>0</v>
      </c>
      <c r="I167" s="6" t="n">
        <v>0</v>
      </c>
      <c r="J167" s="6" t="n">
        <v>0</v>
      </c>
      <c r="K167" s="6" t="n">
        <v>15</v>
      </c>
      <c r="L167" s="6" t="n">
        <v>9</v>
      </c>
      <c r="M167" s="6" t="n">
        <v>4</v>
      </c>
      <c r="N167" s="6" t="inlineStr">
        <is>
          <t>SUCCEEDED</t>
        </is>
      </c>
      <c r="O167" s="7" t="n">
        <v>214.552</v>
      </c>
      <c r="P167" s="7" t="n">
        <v>330.015590429306</v>
      </c>
      <c r="Q167" s="7" t="n">
        <v>212.6573958396912</v>
      </c>
      <c r="R167" s="7" t="n">
        <v>240.8897655010223</v>
      </c>
      <c r="S167" s="8">
        <f>IF(N167="SUCCEEDED",P167/Q167,"")</f>
        <v/>
      </c>
      <c r="T167" s="8">
        <f>IF(N167="SUCCEEDED",P167/R167,"")</f>
        <v/>
      </c>
      <c r="U167" s="9">
        <f>IF(N167="SUCCEEDED",IF(D167="B0",O167-P167,O167-Q167),"")</f>
        <v/>
      </c>
      <c r="V167" s="7" t="n">
        <v>923.6434035301208</v>
      </c>
      <c r="W167" s="6" t="n">
        <v>0</v>
      </c>
      <c r="X167" s="7" t="n">
        <v>0</v>
      </c>
      <c r="Y167" s="6" t="n">
        <v>15</v>
      </c>
      <c r="Z167" s="6" t="n">
        <v>0</v>
      </c>
      <c r="AA167" s="6" t="n">
        <v>0</v>
      </c>
      <c r="AB167" s="6" t="n">
        <v>0</v>
      </c>
      <c r="AC167" s="10" t="n">
        <v>8113</v>
      </c>
      <c r="AD167" s="10" t="n">
        <v>22987</v>
      </c>
      <c r="AE167" s="10" t="n">
        <v>22365</v>
      </c>
      <c r="AF167" s="11" t="n">
        <v>0.33601575</v>
      </c>
      <c r="AG167" s="11" t="n">
        <v>0.0083709151727</v>
      </c>
      <c r="AH167" s="11" t="n">
        <v>0.0004</v>
      </c>
      <c r="AI167" s="12">
        <f>AF167+AG167+AH167</f>
        <v/>
      </c>
      <c r="AJ167" s="6" t="n">
        <v>0</v>
      </c>
      <c r="AK167" s="6" t="inlineStr"/>
    </row>
    <row r="168">
      <c r="A168" s="5" t="n">
        <v>2</v>
      </c>
      <c r="B168" s="5" t="n">
        <v>34</v>
      </c>
      <c r="C168" s="5" t="inlineStr">
        <is>
          <t>protein_1CRN_query_6_mask_4</t>
        </is>
      </c>
      <c r="D168" s="5" t="inlineStr">
        <is>
          <t>A1</t>
        </is>
      </c>
      <c r="E168" s="5" t="inlineStr">
        <is>
          <t>1st</t>
        </is>
      </c>
      <c r="F168" s="5" t="inlineStr">
        <is>
          <t>hard4</t>
        </is>
      </c>
      <c r="G168" s="5" t="inlineStr">
        <is>
          <t>hard</t>
        </is>
      </c>
      <c r="H168" s="6" t="n">
        <v>0</v>
      </c>
      <c r="I168" s="6" t="n">
        <v>0</v>
      </c>
      <c r="J168" s="6" t="n">
        <v>0</v>
      </c>
      <c r="K168" s="6" t="n">
        <v>6</v>
      </c>
      <c r="L168" s="6" t="n">
        <v>5</v>
      </c>
      <c r="M168" s="6" t="n">
        <v>2</v>
      </c>
      <c r="N168" s="6" t="inlineStr">
        <is>
          <t>SUCCEEDED</t>
        </is>
      </c>
      <c r="O168" s="7" t="n">
        <v>112.755</v>
      </c>
      <c r="P168" s="7" t="n">
        <v>121.5850174427032</v>
      </c>
      <c r="Q168" s="7" t="n">
        <v>111.3547968864441</v>
      </c>
      <c r="R168" s="7" t="n">
        <v>111.3547968864441</v>
      </c>
      <c r="S168" s="8">
        <f>IF(N168="SUCCEEDED",P168/Q168,"")</f>
        <v/>
      </c>
      <c r="T168" s="8">
        <f>IF(N168="SUCCEEDED",P168/R168,"")</f>
        <v/>
      </c>
      <c r="U168" s="9">
        <f>IF(N168="SUCCEEDED",IF(D168="B0",O168-P168,O168-Q168),"")</f>
        <v/>
      </c>
      <c r="V168" s="7" t="n">
        <v>244.3291130065918</v>
      </c>
      <c r="W168" s="6" t="n">
        <v>0</v>
      </c>
      <c r="X168" s="7" t="n">
        <v>0</v>
      </c>
      <c r="Y168" s="6" t="n">
        <v>6</v>
      </c>
      <c r="Z168" s="6" t="n">
        <v>0</v>
      </c>
      <c r="AA168" s="6" t="n">
        <v>0</v>
      </c>
      <c r="AB168" s="6" t="n">
        <v>0</v>
      </c>
      <c r="AC168" s="10" t="n">
        <v>69790</v>
      </c>
      <c r="AD168" s="10" t="n">
        <v>8554</v>
      </c>
      <c r="AE168" s="10" t="n">
        <v>8347</v>
      </c>
      <c r="AF168" s="11" t="n">
        <v>0.2418885</v>
      </c>
      <c r="AG168" s="11" t="n">
        <v>0.0024453855542</v>
      </c>
      <c r="AH168" s="11" t="n">
        <v>0.000175</v>
      </c>
      <c r="AI168" s="12">
        <f>AF168+AG168+AH168</f>
        <v/>
      </c>
      <c r="AJ168" s="6" t="n">
        <v>0</v>
      </c>
      <c r="AK168" s="6" t="inlineStr"/>
    </row>
    <row r="169">
      <c r="A169" s="5" t="n">
        <v>2</v>
      </c>
      <c r="B169" s="5" t="n">
        <v>34</v>
      </c>
      <c r="C169" s="5" t="inlineStr">
        <is>
          <t>protein_1CRN_query_6_mask_4</t>
        </is>
      </c>
      <c r="D169" s="5" t="inlineStr">
        <is>
          <t>B0</t>
        </is>
      </c>
      <c r="E169" s="5" t="inlineStr">
        <is>
          <t>2nd</t>
        </is>
      </c>
      <c r="F169" s="5" t="inlineStr">
        <is>
          <t>hard4</t>
        </is>
      </c>
      <c r="G169" s="5" t="inlineStr">
        <is>
          <t>hard</t>
        </is>
      </c>
      <c r="H169" s="6" t="n">
        <v>0</v>
      </c>
      <c r="I169" s="6" t="n">
        <v>0</v>
      </c>
      <c r="J169" s="6" t="n">
        <v>0</v>
      </c>
      <c r="K169" s="6" t="n">
        <v>6</v>
      </c>
      <c r="L169" s="6" t="n">
        <v>5</v>
      </c>
      <c r="M169" s="6" t="n">
        <v>2</v>
      </c>
      <c r="N169" s="6" t="inlineStr">
        <is>
          <t>SUCCEEDED</t>
        </is>
      </c>
      <c r="O169" s="7" t="n">
        <v>152.095</v>
      </c>
      <c r="P169" s="7" t="n">
        <v>150.1371121406555</v>
      </c>
      <c r="Q169" s="7" t="n">
        <v>143.2831954956055</v>
      </c>
      <c r="R169" s="7" t="n">
        <v>143.2831954956055</v>
      </c>
      <c r="S169" s="8">
        <f>IF(N169="SUCCEEDED",P169/Q169,"")</f>
        <v/>
      </c>
      <c r="T169" s="8">
        <f>IF(N169="SUCCEEDED",P169/R169,"")</f>
        <v/>
      </c>
      <c r="U169" s="9">
        <f>IF(N169="SUCCEEDED",IF(D169="B0",O169-P169,O169-Q169),"")</f>
        <v/>
      </c>
      <c r="V169" s="7" t="n">
        <v>0.4915497303009033</v>
      </c>
      <c r="W169" s="6" t="n">
        <v>0</v>
      </c>
      <c r="X169" s="7" t="n">
        <v>0</v>
      </c>
      <c r="Y169" s="6" t="n">
        <v>6</v>
      </c>
      <c r="Z169" s="6" t="n">
        <v>0</v>
      </c>
      <c r="AA169" s="6" t="n">
        <v>0</v>
      </c>
      <c r="AB169" s="6" t="n">
        <v>0</v>
      </c>
      <c r="AC169" s="10" t="n">
        <v>69801</v>
      </c>
      <c r="AD169" s="10" t="n">
        <v>11106</v>
      </c>
      <c r="AE169" s="10" t="n">
        <v>10887</v>
      </c>
      <c r="AF169" s="11" t="n">
        <v>0.27763575</v>
      </c>
      <c r="AG169" s="11" t="n">
        <v>0.0010097317093</v>
      </c>
      <c r="AH169" s="11" t="n">
        <v>0.00015</v>
      </c>
      <c r="AI169" s="12">
        <f>AF169+AG169+AH169</f>
        <v/>
      </c>
      <c r="AJ169" s="6" t="n">
        <v>0</v>
      </c>
      <c r="AK169" s="6" t="inlineStr"/>
    </row>
    <row r="170">
      <c r="A170" s="5" t="n">
        <v>2</v>
      </c>
      <c r="B170" s="5" t="n">
        <v>35</v>
      </c>
      <c r="C170" s="5" t="inlineStr">
        <is>
          <t>hard2_41</t>
        </is>
      </c>
      <c r="D170" s="5" t="inlineStr">
        <is>
          <t>B0</t>
        </is>
      </c>
      <c r="E170" s="5" t="inlineStr">
        <is>
          <t>1st</t>
        </is>
      </c>
      <c r="F170" s="5" t="inlineStr">
        <is>
          <t>hard2</t>
        </is>
      </c>
      <c r="G170" s="5" t="inlineStr">
        <is>
          <t>hard</t>
        </is>
      </c>
      <c r="H170" s="6" t="n">
        <v>0</v>
      </c>
      <c r="I170" s="6" t="n">
        <v>0</v>
      </c>
      <c r="J170" s="6" t="n">
        <v>0</v>
      </c>
      <c r="K170" s="6" t="n">
        <v>16</v>
      </c>
      <c r="L170" s="6" t="n">
        <v>10</v>
      </c>
      <c r="M170" s="6" t="n">
        <v>5</v>
      </c>
      <c r="N170" s="6" t="inlineStr">
        <is>
          <t>SUCCEEDED</t>
        </is>
      </c>
      <c r="O170" s="7" t="n">
        <v>323.571</v>
      </c>
      <c r="P170" s="7" t="n">
        <v>318.7717623710632</v>
      </c>
      <c r="Q170" s="7" t="n">
        <v>259.0329782962799</v>
      </c>
      <c r="R170" s="7" t="n">
        <v>259.0329782962799</v>
      </c>
      <c r="S170" s="8">
        <f>IF(N170="SUCCEEDED",P170/Q170,"")</f>
        <v/>
      </c>
      <c r="T170" s="8">
        <f>IF(N170="SUCCEEDED",P170/R170,"")</f>
        <v/>
      </c>
      <c r="U170" s="9">
        <f>IF(N170="SUCCEEDED",IF(D170="B0",O170-P170,O170-Q170),"")</f>
        <v/>
      </c>
      <c r="V170" s="7" t="n">
        <v>1.130648374557495</v>
      </c>
      <c r="W170" s="6" t="n">
        <v>0</v>
      </c>
      <c r="X170" s="7" t="n">
        <v>0</v>
      </c>
      <c r="Y170" s="6" t="n">
        <v>16</v>
      </c>
      <c r="Z170" s="6" t="n">
        <v>0</v>
      </c>
      <c r="AA170" s="6" t="n">
        <v>0</v>
      </c>
      <c r="AB170" s="6" t="n">
        <v>0</v>
      </c>
      <c r="AC170" s="10" t="n">
        <v>8391</v>
      </c>
      <c r="AD170" s="10" t="n">
        <v>20229</v>
      </c>
      <c r="AE170" s="10" t="n">
        <v>19444</v>
      </c>
      <c r="AF170" s="11" t="n">
        <v>0.29789025</v>
      </c>
      <c r="AG170" s="11" t="n">
        <v>0.0021476173887</v>
      </c>
      <c r="AH170" s="11" t="n">
        <v>0.0004</v>
      </c>
      <c r="AI170" s="12">
        <f>AF170+AG170+AH170</f>
        <v/>
      </c>
      <c r="AJ170" s="6" t="n">
        <v>0</v>
      </c>
      <c r="AK170" s="6" t="inlineStr"/>
    </row>
    <row r="171">
      <c r="A171" s="5" t="n">
        <v>2</v>
      </c>
      <c r="B171" s="5" t="n">
        <v>35</v>
      </c>
      <c r="C171" s="5" t="inlineStr">
        <is>
          <t>hard2_41</t>
        </is>
      </c>
      <c r="D171" s="5" t="inlineStr">
        <is>
          <t>A1</t>
        </is>
      </c>
      <c r="E171" s="5" t="inlineStr">
        <is>
          <t>2nd</t>
        </is>
      </c>
      <c r="F171" s="5" t="inlineStr">
        <is>
          <t>hard2</t>
        </is>
      </c>
      <c r="G171" s="5" t="inlineStr">
        <is>
          <t>hard</t>
        </is>
      </c>
      <c r="H171" s="6" t="n">
        <v>0</v>
      </c>
      <c r="I171" s="6" t="n">
        <v>0</v>
      </c>
      <c r="J171" s="6" t="n">
        <v>0</v>
      </c>
      <c r="K171" s="6" t="n">
        <v>16</v>
      </c>
      <c r="L171" s="6" t="n">
        <v>10</v>
      </c>
      <c r="M171" s="6" t="n">
        <v>5</v>
      </c>
      <c r="N171" s="6" t="inlineStr">
        <is>
          <t>SUCCEEDED</t>
        </is>
      </c>
      <c r="O171" s="7" t="n">
        <v>240.569</v>
      </c>
      <c r="P171" s="7" t="n">
        <v>310.8630180358887</v>
      </c>
      <c r="Q171" s="7" t="n">
        <v>238.164386510849</v>
      </c>
      <c r="R171" s="7" t="n">
        <v>260.9132657051086</v>
      </c>
      <c r="S171" s="8">
        <f>IF(N171="SUCCEEDED",P171/Q171,"")</f>
        <v/>
      </c>
      <c r="T171" s="8">
        <f>IF(N171="SUCCEEDED",P171/R171,"")</f>
        <v/>
      </c>
      <c r="U171" s="9">
        <f>IF(N171="SUCCEEDED",IF(D171="B0",O171-P171,O171-Q171),"")</f>
        <v/>
      </c>
      <c r="V171" s="7" t="n">
        <v>996.1592960357666</v>
      </c>
      <c r="W171" s="6" t="n">
        <v>0</v>
      </c>
      <c r="X171" s="7" t="n">
        <v>0</v>
      </c>
      <c r="Y171" s="6" t="n">
        <v>16</v>
      </c>
      <c r="Z171" s="6" t="n">
        <v>0</v>
      </c>
      <c r="AA171" s="6" t="n">
        <v>0</v>
      </c>
      <c r="AB171" s="6" t="n">
        <v>0</v>
      </c>
      <c r="AC171" s="10" t="n">
        <v>8366</v>
      </c>
      <c r="AD171" s="10" t="n">
        <v>17940</v>
      </c>
      <c r="AE171" s="10" t="n">
        <v>17204</v>
      </c>
      <c r="AF171" s="11" t="n">
        <v>0.2658005</v>
      </c>
      <c r="AG171" s="11" t="n">
        <v>0.008728370292299999</v>
      </c>
      <c r="AH171" s="11" t="n">
        <v>0.000425</v>
      </c>
      <c r="AI171" s="12">
        <f>AF171+AG171+AH171</f>
        <v/>
      </c>
      <c r="AJ171" s="6" t="n">
        <v>0</v>
      </c>
      <c r="AK171" s="6" t="inlineStr"/>
    </row>
    <row r="172">
      <c r="A172" s="5" t="n">
        <v>2</v>
      </c>
      <c r="B172" s="5" t="n">
        <v>36</v>
      </c>
      <c r="C172" s="5" t="inlineStr">
        <is>
          <t>hard2_0</t>
        </is>
      </c>
      <c r="D172" s="5" t="inlineStr">
        <is>
          <t>A1</t>
        </is>
      </c>
      <c r="E172" s="5" t="inlineStr">
        <is>
          <t>1st</t>
        </is>
      </c>
      <c r="F172" s="5" t="inlineStr">
        <is>
          <t>hard2</t>
        </is>
      </c>
      <c r="G172" s="5" t="inlineStr">
        <is>
          <t>hard</t>
        </is>
      </c>
      <c r="H172" s="6" t="n">
        <v>1</v>
      </c>
      <c r="I172" s="6" t="n">
        <v>1</v>
      </c>
      <c r="J172" s="6" t="n">
        <v>0</v>
      </c>
      <c r="K172" s="6" t="n">
        <v>16</v>
      </c>
      <c r="L172" s="6" t="n">
        <v>10</v>
      </c>
      <c r="M172" s="6" t="n">
        <v>5</v>
      </c>
      <c r="N172" s="6" t="inlineStr">
        <is>
          <t>SUCCEEDED</t>
        </is>
      </c>
      <c r="O172" s="7" t="n">
        <v>285.516</v>
      </c>
      <c r="P172" s="7" t="n">
        <v>350.822758436203</v>
      </c>
      <c r="Q172" s="7" t="n">
        <v>283.448230266571</v>
      </c>
      <c r="R172" s="7" t="n">
        <v>290.6969647407532</v>
      </c>
      <c r="S172" s="8">
        <f>IF(N172="SUCCEEDED",P172/Q172,"")</f>
        <v/>
      </c>
      <c r="T172" s="8">
        <f>IF(N172="SUCCEEDED",P172/R172,"")</f>
        <v/>
      </c>
      <c r="U172" s="9">
        <f>IF(N172="SUCCEEDED",IF(D172="B0",O172-P172,O172-Q172),"")</f>
        <v/>
      </c>
      <c r="V172" s="7" t="n">
        <v>1304.184804677963</v>
      </c>
      <c r="W172" s="6" t="n">
        <v>0</v>
      </c>
      <c r="X172" s="7" t="n">
        <v>0</v>
      </c>
      <c r="Y172" s="6" t="n">
        <v>16</v>
      </c>
      <c r="Z172" s="6" t="n">
        <v>0</v>
      </c>
      <c r="AA172" s="6" t="n">
        <v>0</v>
      </c>
      <c r="AB172" s="6" t="n">
        <v>0</v>
      </c>
      <c r="AC172" s="10" t="n">
        <v>8898</v>
      </c>
      <c r="AD172" s="10" t="n">
        <v>22940</v>
      </c>
      <c r="AE172" s="10" t="n">
        <v>22087</v>
      </c>
      <c r="AF172" s="11" t="n">
        <v>0.3367315</v>
      </c>
      <c r="AG172" s="11" t="n">
        <v>0.0110481952247</v>
      </c>
      <c r="AH172" s="11" t="n">
        <v>0.000425</v>
      </c>
      <c r="AI172" s="12">
        <f>AF172+AG172+AH172</f>
        <v/>
      </c>
      <c r="AJ172" s="6" t="n">
        <v>0</v>
      </c>
      <c r="AK172" s="6" t="inlineStr"/>
    </row>
    <row r="173">
      <c r="A173" s="5" t="n">
        <v>2</v>
      </c>
      <c r="B173" s="5" t="n">
        <v>36</v>
      </c>
      <c r="C173" s="5" t="inlineStr">
        <is>
          <t>hard2_0</t>
        </is>
      </c>
      <c r="D173" s="5" t="inlineStr">
        <is>
          <t>B0</t>
        </is>
      </c>
      <c r="E173" s="5" t="inlineStr">
        <is>
          <t>2nd</t>
        </is>
      </c>
      <c r="F173" s="5" t="inlineStr">
        <is>
          <t>hard2</t>
        </is>
      </c>
      <c r="G173" s="5" t="inlineStr">
        <is>
          <t>hard</t>
        </is>
      </c>
      <c r="H173" s="6" t="n">
        <v>1</v>
      </c>
      <c r="I173" s="6" t="n">
        <v>1</v>
      </c>
      <c r="J173" s="6" t="n">
        <v>0</v>
      </c>
      <c r="K173" s="6" t="n">
        <v>16</v>
      </c>
      <c r="L173" s="6" t="n">
        <v>10</v>
      </c>
      <c r="M173" s="6" t="n">
        <v>5</v>
      </c>
      <c r="N173" s="6" t="inlineStr">
        <is>
          <t>SUCCEEDED</t>
        </is>
      </c>
      <c r="O173" s="7" t="n">
        <v>326.098</v>
      </c>
      <c r="P173" s="7" t="n">
        <v>320.9460372924805</v>
      </c>
      <c r="Q173" s="7" t="n">
        <v>251.0120072364807</v>
      </c>
      <c r="R173" s="7" t="n">
        <v>254.2072536945343</v>
      </c>
      <c r="S173" s="8">
        <f>IF(N173="SUCCEEDED",P173/Q173,"")</f>
        <v/>
      </c>
      <c r="T173" s="8">
        <f>IF(N173="SUCCEEDED",P173/R173,"")</f>
        <v/>
      </c>
      <c r="U173" s="9">
        <f>IF(N173="SUCCEEDED",IF(D173="B0",O173-P173,O173-Q173),"")</f>
        <v/>
      </c>
      <c r="V173" s="7" t="n">
        <v>1.011212348937988</v>
      </c>
      <c r="W173" s="6" t="n">
        <v>1</v>
      </c>
      <c r="X173" s="7" t="n">
        <v>0.50142</v>
      </c>
      <c r="Y173" s="6" t="n">
        <v>16</v>
      </c>
      <c r="Z173" s="6" t="n">
        <v>0</v>
      </c>
      <c r="AA173" s="6" t="n">
        <v>0</v>
      </c>
      <c r="AB173" s="6" t="n">
        <v>0</v>
      </c>
      <c r="AC173" s="10" t="n">
        <v>8910</v>
      </c>
      <c r="AD173" s="10" t="n">
        <v>22860</v>
      </c>
      <c r="AE173" s="10" t="n">
        <v>22017</v>
      </c>
      <c r="AF173" s="11" t="n">
        <v>0.3356325</v>
      </c>
      <c r="AG173" s="11" t="n">
        <v>0.0021643708058</v>
      </c>
      <c r="AH173" s="11" t="n">
        <v>0.0004</v>
      </c>
      <c r="AI173" s="12">
        <f>AF173+AG173+AH173</f>
        <v/>
      </c>
      <c r="AJ173" s="6" t="n">
        <v>0</v>
      </c>
      <c r="AK173" s="6" t="inlineStr"/>
    </row>
    <row r="174">
      <c r="A174" s="5" t="n">
        <v>2</v>
      </c>
      <c r="B174" s="5" t="n">
        <v>37</v>
      </c>
      <c r="C174" s="5" t="inlineStr">
        <is>
          <t>med1_32</t>
        </is>
      </c>
      <c r="D174" s="5" t="inlineStr">
        <is>
          <t>B0</t>
        </is>
      </c>
      <c r="E174" s="5" t="inlineStr">
        <is>
          <t>1st</t>
        </is>
      </c>
      <c r="F174" s="5" t="inlineStr">
        <is>
          <t>med1</t>
        </is>
      </c>
      <c r="G174" s="5" t="inlineStr">
        <is>
          <t>medium</t>
        </is>
      </c>
      <c r="H174" s="6" t="n">
        <v>0</v>
      </c>
      <c r="I174" s="6" t="n">
        <v>0</v>
      </c>
      <c r="J174" s="6" t="n">
        <v>0</v>
      </c>
      <c r="K174" s="6" t="n">
        <v>9</v>
      </c>
      <c r="L174" s="6" t="n">
        <v>4</v>
      </c>
      <c r="M174" s="6" t="n">
        <v>5</v>
      </c>
      <c r="N174" s="6" t="inlineStr">
        <is>
          <t>SUCCEEDED</t>
        </is>
      </c>
      <c r="O174" s="7" t="n">
        <v>198.811</v>
      </c>
      <c r="P174" s="7" t="n">
        <v>196.2652971744537</v>
      </c>
      <c r="Q174" s="7" t="n">
        <v>153.6294386386871</v>
      </c>
      <c r="R174" s="7" t="n">
        <v>153.6294386386871</v>
      </c>
      <c r="S174" s="8">
        <f>IF(N174="SUCCEEDED",P174/Q174,"")</f>
        <v/>
      </c>
      <c r="T174" s="8">
        <f>IF(N174="SUCCEEDED",P174/R174,"")</f>
        <v/>
      </c>
      <c r="U174" s="9">
        <f>IF(N174="SUCCEEDED",IF(D174="B0",O174-P174,O174-Q174),"")</f>
        <v/>
      </c>
      <c r="V174" s="7" t="n">
        <v>0.4334888458251953</v>
      </c>
      <c r="W174" s="6" t="n">
        <v>0</v>
      </c>
      <c r="X174" s="7" t="n">
        <v>0</v>
      </c>
      <c r="Y174" s="6" t="n">
        <v>9</v>
      </c>
      <c r="Z174" s="6" t="n">
        <v>0</v>
      </c>
      <c r="AA174" s="6" t="n">
        <v>0</v>
      </c>
      <c r="AB174" s="6" t="n">
        <v>0</v>
      </c>
      <c r="AC174" s="10" t="n">
        <v>3844</v>
      </c>
      <c r="AD174" s="10" t="n">
        <v>11903</v>
      </c>
      <c r="AE174" s="10" t="n">
        <v>11572</v>
      </c>
      <c r="AF174" s="11" t="n">
        <v>0.173369</v>
      </c>
      <c r="AG174" s="11" t="n">
        <v>0.0013197332563</v>
      </c>
      <c r="AH174" s="11" t="n">
        <v>0.000225</v>
      </c>
      <c r="AI174" s="12">
        <f>AF174+AG174+AH174</f>
        <v/>
      </c>
      <c r="AJ174" s="6" t="n">
        <v>0</v>
      </c>
      <c r="AK174" s="6" t="inlineStr"/>
    </row>
    <row r="175">
      <c r="A175" s="5" t="n">
        <v>2</v>
      </c>
      <c r="B175" s="5" t="n">
        <v>37</v>
      </c>
      <c r="C175" s="5" t="inlineStr">
        <is>
          <t>med1_32</t>
        </is>
      </c>
      <c r="D175" s="5" t="inlineStr">
        <is>
          <t>A1</t>
        </is>
      </c>
      <c r="E175" s="5" t="inlineStr">
        <is>
          <t>2nd</t>
        </is>
      </c>
      <c r="F175" s="5" t="inlineStr">
        <is>
          <t>med1</t>
        </is>
      </c>
      <c r="G175" s="5" t="inlineStr">
        <is>
          <t>medium</t>
        </is>
      </c>
      <c r="H175" s="6" t="n">
        <v>0</v>
      </c>
      <c r="I175" s="6" t="n">
        <v>0</v>
      </c>
      <c r="J175" s="6" t="n">
        <v>0</v>
      </c>
      <c r="K175" s="6" t="n">
        <v>9</v>
      </c>
      <c r="L175" s="6" t="n">
        <v>4</v>
      </c>
      <c r="M175" s="6" t="n">
        <v>5</v>
      </c>
      <c r="N175" s="6" t="inlineStr">
        <is>
          <t>SUCCEEDED</t>
        </is>
      </c>
      <c r="O175" s="7" t="n">
        <v>104.557</v>
      </c>
      <c r="P175" s="7" t="n">
        <v>160.676424741745</v>
      </c>
      <c r="Q175" s="7" t="n">
        <v>103.6194307804108</v>
      </c>
      <c r="R175" s="7" t="n">
        <v>108.8716239929199</v>
      </c>
      <c r="S175" s="8">
        <f>IF(N175="SUCCEEDED",P175/Q175,"")</f>
        <v/>
      </c>
      <c r="T175" s="8">
        <f>IF(N175="SUCCEEDED",P175/R175,"")</f>
        <v/>
      </c>
      <c r="U175" s="9">
        <f>IF(N175="SUCCEEDED",IF(D175="B0",O175-P175,O175-Q175),"")</f>
        <v/>
      </c>
      <c r="V175" s="7" t="n">
        <v>123.422018289566</v>
      </c>
      <c r="W175" s="6" t="n">
        <v>0</v>
      </c>
      <c r="X175" s="7" t="n">
        <v>0</v>
      </c>
      <c r="Y175" s="6" t="n">
        <v>9</v>
      </c>
      <c r="Z175" s="6" t="n">
        <v>0</v>
      </c>
      <c r="AA175" s="6" t="n">
        <v>0</v>
      </c>
      <c r="AB175" s="6" t="n">
        <v>0</v>
      </c>
      <c r="AC175" s="10" t="n">
        <v>3815</v>
      </c>
      <c r="AD175" s="10" t="n">
        <v>11470</v>
      </c>
      <c r="AE175" s="10" t="n">
        <v>11168</v>
      </c>
      <c r="AF175" s="11" t="n">
        <v>0.16725625</v>
      </c>
      <c r="AG175" s="11" t="n">
        <v>0.0019021695018</v>
      </c>
      <c r="AH175" s="11" t="n">
        <v>0.00025</v>
      </c>
      <c r="AI175" s="12">
        <f>AF175+AG175+AH175</f>
        <v/>
      </c>
      <c r="AJ175" s="6" t="n">
        <v>1</v>
      </c>
      <c r="AK175" s="6" t="inlineStr"/>
    </row>
    <row r="176">
      <c r="A176" s="5" t="n">
        <v>2</v>
      </c>
      <c r="B176" s="5" t="n">
        <v>38</v>
      </c>
      <c r="C176" s="5" t="inlineStr">
        <is>
          <t>easy1_35</t>
        </is>
      </c>
      <c r="D176" s="5" t="inlineStr">
        <is>
          <t>A1</t>
        </is>
      </c>
      <c r="E176" s="5" t="inlineStr">
        <is>
          <t>1st</t>
        </is>
      </c>
      <c r="F176" s="5" t="inlineStr">
        <is>
          <t>easy1</t>
        </is>
      </c>
      <c r="G176" s="5" t="inlineStr">
        <is>
          <t>easy</t>
        </is>
      </c>
      <c r="H176" s="6" t="n">
        <v>1</v>
      </c>
      <c r="I176" s="6" t="n">
        <v>0</v>
      </c>
      <c r="J176" s="6" t="n">
        <v>0</v>
      </c>
      <c r="K176" s="6" t="n">
        <v>5</v>
      </c>
      <c r="L176" s="6" t="n">
        <v>4</v>
      </c>
      <c r="M176" s="6" t="n">
        <v>2</v>
      </c>
      <c r="N176" s="6" t="inlineStr">
        <is>
          <t>SUCCEEDED</t>
        </is>
      </c>
      <c r="O176" s="7" t="n">
        <v>48.92</v>
      </c>
      <c r="P176" s="7" t="n">
        <v>63.84901523590088</v>
      </c>
      <c r="Q176" s="7" t="n">
        <v>48.44556283950806</v>
      </c>
      <c r="R176" s="7" t="n">
        <v>55.93842029571533</v>
      </c>
      <c r="S176" s="8">
        <f>IF(N176="SUCCEEDED",P176/Q176,"")</f>
        <v/>
      </c>
      <c r="T176" s="8">
        <f>IF(N176="SUCCEEDED",P176/R176,"")</f>
        <v/>
      </c>
      <c r="U176" s="9">
        <f>IF(N176="SUCCEEDED",IF(D176="B0",O176-P176,O176-Q176),"")</f>
        <v/>
      </c>
      <c r="V176" s="7" t="n">
        <v>54.39902257919312</v>
      </c>
      <c r="W176" s="6" t="n">
        <v>0</v>
      </c>
      <c r="X176" s="7" t="n">
        <v>0</v>
      </c>
      <c r="Y176" s="6" t="n">
        <v>5</v>
      </c>
      <c r="Z176" s="6" t="n">
        <v>0</v>
      </c>
      <c r="AA176" s="6" t="n">
        <v>0</v>
      </c>
      <c r="AB176" s="6" t="n">
        <v>0</v>
      </c>
      <c r="AC176" s="10" t="n">
        <v>1940</v>
      </c>
      <c r="AD176" s="10" t="n">
        <v>4055</v>
      </c>
      <c r="AE176" s="10" t="n">
        <v>3932</v>
      </c>
      <c r="AF176" s="11" t="n">
        <v>0.060165</v>
      </c>
      <c r="AG176" s="11" t="n">
        <v>0.0007924839574</v>
      </c>
      <c r="AH176" s="11" t="n">
        <v>0.00015</v>
      </c>
      <c r="AI176" s="12">
        <f>AF176+AG176+AH176</f>
        <v/>
      </c>
      <c r="AJ176" s="6" t="n">
        <v>0</v>
      </c>
      <c r="AK176" s="6" t="inlineStr"/>
    </row>
    <row r="177">
      <c r="A177" s="5" t="n">
        <v>2</v>
      </c>
      <c r="B177" s="5" t="n">
        <v>38</v>
      </c>
      <c r="C177" s="5" t="inlineStr">
        <is>
          <t>easy1_35</t>
        </is>
      </c>
      <c r="D177" s="5" t="inlineStr">
        <is>
          <t>B0</t>
        </is>
      </c>
      <c r="E177" s="5" t="inlineStr">
        <is>
          <t>2nd</t>
        </is>
      </c>
      <c r="F177" s="5" t="inlineStr">
        <is>
          <t>easy1</t>
        </is>
      </c>
      <c r="G177" s="5" t="inlineStr">
        <is>
          <t>easy</t>
        </is>
      </c>
      <c r="H177" s="6" t="n">
        <v>1</v>
      </c>
      <c r="I177" s="6" t="n">
        <v>0</v>
      </c>
      <c r="J177" s="6" t="n">
        <v>0</v>
      </c>
      <c r="K177" s="6" t="n">
        <v>5</v>
      </c>
      <c r="L177" s="6" t="n">
        <v>4</v>
      </c>
      <c r="M177" s="6" t="n">
        <v>2</v>
      </c>
      <c r="N177" s="6" t="inlineStr">
        <is>
          <t>SUCCEEDED</t>
        </is>
      </c>
      <c r="O177" s="7" t="n">
        <v>69.65000000000001</v>
      </c>
      <c r="P177" s="7" t="n">
        <v>68.38081812858582</v>
      </c>
      <c r="Q177" s="7" t="n">
        <v>50.76605892181396</v>
      </c>
      <c r="R177" s="7" t="n">
        <v>58.94657588005066</v>
      </c>
      <c r="S177" s="8">
        <f>IF(N177="SUCCEEDED",P177/Q177,"")</f>
        <v/>
      </c>
      <c r="T177" s="8">
        <f>IF(N177="SUCCEEDED",P177/R177,"")</f>
        <v/>
      </c>
      <c r="U177" s="9">
        <f>IF(N177="SUCCEEDED",IF(D177="B0",O177-P177,O177-Q177),"")</f>
        <v/>
      </c>
      <c r="V177" s="7" t="n">
        <v>0.2160475254058838</v>
      </c>
      <c r="W177" s="6" t="n">
        <v>0</v>
      </c>
      <c r="X177" s="7" t="n">
        <v>0</v>
      </c>
      <c r="Y177" s="6" t="n">
        <v>5</v>
      </c>
      <c r="Z177" s="6" t="n">
        <v>0</v>
      </c>
      <c r="AA177" s="6" t="n">
        <v>0</v>
      </c>
      <c r="AB177" s="6" t="n">
        <v>0</v>
      </c>
      <c r="AC177" s="10" t="n">
        <v>1933</v>
      </c>
      <c r="AD177" s="10" t="n">
        <v>4128</v>
      </c>
      <c r="AE177" s="10" t="n">
        <v>3986</v>
      </c>
      <c r="AF177" s="11" t="n">
        <v>0.06117475</v>
      </c>
      <c r="AG177" s="11" t="n">
        <v>0.0004613956353</v>
      </c>
      <c r="AH177" s="11" t="n">
        <v>0.000125</v>
      </c>
      <c r="AI177" s="12">
        <f>AF177+AG177+AH177</f>
        <v/>
      </c>
      <c r="AJ177" s="6" t="n">
        <v>0</v>
      </c>
      <c r="AK177" s="6" t="inlineStr"/>
    </row>
    <row r="178">
      <c r="A178" s="5" t="n">
        <v>2</v>
      </c>
      <c r="B178" s="5" t="n">
        <v>39</v>
      </c>
      <c r="C178" s="5" t="inlineStr">
        <is>
          <t>hard3_42</t>
        </is>
      </c>
      <c r="D178" s="5" t="inlineStr">
        <is>
          <t>B0</t>
        </is>
      </c>
      <c r="E178" s="5" t="inlineStr">
        <is>
          <t>1st</t>
        </is>
      </c>
      <c r="F178" s="5" t="inlineStr">
        <is>
          <t>hard3</t>
        </is>
      </c>
      <c r="G178" s="5" t="inlineStr">
        <is>
          <t>hard</t>
        </is>
      </c>
      <c r="H178" s="6" t="n">
        <v>0</v>
      </c>
      <c r="I178" s="6" t="n">
        <v>0</v>
      </c>
      <c r="J178" s="6" t="n">
        <v>0</v>
      </c>
      <c r="K178" s="6" t="n">
        <v>15</v>
      </c>
      <c r="L178" s="6" t="n">
        <v>9</v>
      </c>
      <c r="M178" s="6" t="n">
        <v>4</v>
      </c>
      <c r="N178" s="6" t="inlineStr">
        <is>
          <t>SUCCEEDED</t>
        </is>
      </c>
      <c r="O178" s="7" t="n">
        <v>323.495</v>
      </c>
      <c r="P178" s="7" t="n">
        <v>318.5674283504486</v>
      </c>
      <c r="Q178" s="7" t="n">
        <v>217.2608046531677</v>
      </c>
      <c r="R178" s="7" t="n">
        <v>238.8584203720093</v>
      </c>
      <c r="S178" s="8">
        <f>IF(N178="SUCCEEDED",P178/Q178,"")</f>
        <v/>
      </c>
      <c r="T178" s="8">
        <f>IF(N178="SUCCEEDED",P178/R178,"")</f>
        <v/>
      </c>
      <c r="U178" s="9">
        <f>IF(N178="SUCCEEDED",IF(D178="B0",O178-P178,O178-Q178),"")</f>
        <v/>
      </c>
      <c r="V178" s="7" t="n">
        <v>1.106700658798218</v>
      </c>
      <c r="W178" s="6" t="n">
        <v>1</v>
      </c>
      <c r="X178" s="7" t="n">
        <v>0.49389</v>
      </c>
      <c r="Y178" s="6" t="n">
        <v>15</v>
      </c>
      <c r="Z178" s="6" t="n">
        <v>0</v>
      </c>
      <c r="AA178" s="6" t="n">
        <v>0</v>
      </c>
      <c r="AB178" s="6" t="n">
        <v>0</v>
      </c>
      <c r="AC178" s="10" t="n">
        <v>8116</v>
      </c>
      <c r="AD178" s="10" t="n">
        <v>22802</v>
      </c>
      <c r="AE178" s="10" t="n">
        <v>22306</v>
      </c>
      <c r="AF178" s="11" t="n">
        <v>0.333431</v>
      </c>
      <c r="AG178" s="11" t="n">
        <v>0.0021475840562</v>
      </c>
      <c r="AH178" s="11" t="n">
        <v>0.000375</v>
      </c>
      <c r="AI178" s="12">
        <f>AF178+AG178+AH178</f>
        <v/>
      </c>
      <c r="AJ178" s="6" t="n">
        <v>0</v>
      </c>
      <c r="AK178" s="6" t="inlineStr"/>
    </row>
    <row r="179">
      <c r="A179" s="5" t="n">
        <v>2</v>
      </c>
      <c r="B179" s="5" t="n">
        <v>39</v>
      </c>
      <c r="C179" s="5" t="inlineStr">
        <is>
          <t>hard3_42</t>
        </is>
      </c>
      <c r="D179" s="5" t="inlineStr">
        <is>
          <t>A1</t>
        </is>
      </c>
      <c r="E179" s="5" t="inlineStr">
        <is>
          <t>2nd</t>
        </is>
      </c>
      <c r="F179" s="5" t="inlineStr">
        <is>
          <t>hard3</t>
        </is>
      </c>
      <c r="G179" s="5" t="inlineStr">
        <is>
          <t>hard</t>
        </is>
      </c>
      <c r="H179" s="6" t="n">
        <v>0</v>
      </c>
      <c r="I179" s="6" t="n">
        <v>0</v>
      </c>
      <c r="J179" s="6" t="n">
        <v>0</v>
      </c>
      <c r="K179" s="6" t="n">
        <v>15</v>
      </c>
      <c r="L179" s="6" t="n">
        <v>9</v>
      </c>
      <c r="M179" s="6" t="n">
        <v>4</v>
      </c>
      <c r="N179" s="6" t="inlineStr">
        <is>
          <t>SUCCEEDED</t>
        </is>
      </c>
      <c r="O179" s="7" t="n">
        <v>244.631</v>
      </c>
      <c r="P179" s="7" t="n">
        <v>330.3941657543182</v>
      </c>
      <c r="Q179" s="7" t="n">
        <v>242.5215559005737</v>
      </c>
      <c r="R179" s="7" t="n">
        <v>253.3451731204987</v>
      </c>
      <c r="S179" s="8">
        <f>IF(N179="SUCCEEDED",P179/Q179,"")</f>
        <v/>
      </c>
      <c r="T179" s="8">
        <f>IF(N179="SUCCEEDED",P179/R179,"")</f>
        <v/>
      </c>
      <c r="U179" s="9">
        <f>IF(N179="SUCCEEDED",IF(D179="B0",O179-P179,O179-Q179),"")</f>
        <v/>
      </c>
      <c r="V179" s="7" t="n">
        <v>882.0411372184753</v>
      </c>
      <c r="W179" s="6" t="n">
        <v>0</v>
      </c>
      <c r="X179" s="7" t="n">
        <v>0</v>
      </c>
      <c r="Y179" s="6" t="n">
        <v>15</v>
      </c>
      <c r="Z179" s="6" t="n">
        <v>0</v>
      </c>
      <c r="AA179" s="6" t="n">
        <v>0</v>
      </c>
      <c r="AB179" s="6" t="n">
        <v>0</v>
      </c>
      <c r="AC179" s="10" t="n">
        <v>8156</v>
      </c>
      <c r="AD179" s="10" t="n">
        <v>21560</v>
      </c>
      <c r="AE179" s="10" t="n">
        <v>21045</v>
      </c>
      <c r="AF179" s="11" t="n">
        <v>0.316113</v>
      </c>
      <c r="AG179" s="11" t="n">
        <v>0.0080961671323</v>
      </c>
      <c r="AH179" s="11" t="n">
        <v>0.0004</v>
      </c>
      <c r="AI179" s="12">
        <f>AF179+AG179+AH179</f>
        <v/>
      </c>
      <c r="AJ179" s="6" t="n">
        <v>0</v>
      </c>
      <c r="AK179" s="6" t="inlineStr"/>
    </row>
    <row r="180">
      <c r="A180" s="5" t="n">
        <v>2</v>
      </c>
      <c r="B180" s="5" t="n">
        <v>40</v>
      </c>
      <c r="C180" s="5" t="inlineStr">
        <is>
          <t>easy1_40</t>
        </is>
      </c>
      <c r="D180" s="5" t="inlineStr">
        <is>
          <t>A1</t>
        </is>
      </c>
      <c r="E180" s="5" t="inlineStr">
        <is>
          <t>1st</t>
        </is>
      </c>
      <c r="F180" s="5" t="inlineStr">
        <is>
          <t>easy1</t>
        </is>
      </c>
      <c r="G180" s="5" t="inlineStr">
        <is>
          <t>easy</t>
        </is>
      </c>
      <c r="H180" s="6" t="n">
        <v>1</v>
      </c>
      <c r="I180" s="6" t="n">
        <v>0</v>
      </c>
      <c r="J180" s="6" t="n">
        <v>0</v>
      </c>
      <c r="K180" s="6" t="n">
        <v>5</v>
      </c>
      <c r="L180" s="6" t="n">
        <v>4</v>
      </c>
      <c r="M180" s="6" t="n">
        <v>2</v>
      </c>
      <c r="N180" s="6" t="inlineStr">
        <is>
          <t>SUCCEEDED</t>
        </is>
      </c>
      <c r="O180" s="7" t="n">
        <v>59.769</v>
      </c>
      <c r="P180" s="7" t="n">
        <v>72.04139947891235</v>
      </c>
      <c r="Q180" s="7" t="n">
        <v>58.75941967964172</v>
      </c>
      <c r="R180" s="7" t="n">
        <v>58.75941967964172</v>
      </c>
      <c r="S180" s="8">
        <f>IF(N180="SUCCEEDED",P180/Q180,"")</f>
        <v/>
      </c>
      <c r="T180" s="8">
        <f>IF(N180="SUCCEEDED",P180/R180,"")</f>
        <v/>
      </c>
      <c r="U180" s="9">
        <f>IF(N180="SUCCEEDED",IF(D180="B0",O180-P180,O180-Q180),"")</f>
        <v/>
      </c>
      <c r="V180" s="7" t="n">
        <v>81.93921709060669</v>
      </c>
      <c r="W180" s="6" t="n">
        <v>0</v>
      </c>
      <c r="X180" s="7" t="n">
        <v>0</v>
      </c>
      <c r="Y180" s="6" t="n">
        <v>5</v>
      </c>
      <c r="Z180" s="6" t="n">
        <v>0</v>
      </c>
      <c r="AA180" s="6" t="n">
        <v>0</v>
      </c>
      <c r="AB180" s="6" t="n">
        <v>0</v>
      </c>
      <c r="AC180" s="10" t="n">
        <v>2108</v>
      </c>
      <c r="AD180" s="10" t="n">
        <v>4918</v>
      </c>
      <c r="AE180" s="10" t="n">
        <v>4711</v>
      </c>
      <c r="AF180" s="11" t="n">
        <v>0.07254099999999999</v>
      </c>
      <c r="AG180" s="11" t="n">
        <v>0.0010314984858</v>
      </c>
      <c r="AH180" s="11" t="n">
        <v>0.00015</v>
      </c>
      <c r="AI180" s="12">
        <f>AF180+AG180+AH180</f>
        <v/>
      </c>
      <c r="AJ180" s="6" t="n">
        <v>1</v>
      </c>
      <c r="AK180" s="6" t="inlineStr"/>
    </row>
    <row r="181">
      <c r="A181" s="5" t="n">
        <v>2</v>
      </c>
      <c r="B181" s="5" t="n">
        <v>40</v>
      </c>
      <c r="C181" s="5" t="inlineStr">
        <is>
          <t>easy1_40</t>
        </is>
      </c>
      <c r="D181" s="5" t="inlineStr">
        <is>
          <t>B0</t>
        </is>
      </c>
      <c r="E181" s="5" t="inlineStr">
        <is>
          <t>2nd</t>
        </is>
      </c>
      <c r="F181" s="5" t="inlineStr">
        <is>
          <t>easy1</t>
        </is>
      </c>
      <c r="G181" s="5" t="inlineStr">
        <is>
          <t>easy</t>
        </is>
      </c>
      <c r="H181" s="6" t="n">
        <v>1</v>
      </c>
      <c r="I181" s="6" t="n">
        <v>0</v>
      </c>
      <c r="J181" s="6" t="n">
        <v>0</v>
      </c>
      <c r="K181" s="6" t="n">
        <v>5</v>
      </c>
      <c r="L181" s="6" t="n">
        <v>4</v>
      </c>
      <c r="M181" s="6" t="n">
        <v>2</v>
      </c>
      <c r="N181" s="6" t="inlineStr">
        <is>
          <t>SUCCEEDED</t>
        </is>
      </c>
      <c r="O181" s="7" t="n">
        <v>82.759</v>
      </c>
      <c r="P181" s="7" t="n">
        <v>81.35495042800903</v>
      </c>
      <c r="Q181" s="7" t="n">
        <v>68.50853085517883</v>
      </c>
      <c r="R181" s="7" t="n">
        <v>68.50853085517883</v>
      </c>
      <c r="S181" s="8">
        <f>IF(N181="SUCCEEDED",P181/Q181,"")</f>
        <v/>
      </c>
      <c r="T181" s="8">
        <f>IF(N181="SUCCEEDED",P181/R181,"")</f>
        <v/>
      </c>
      <c r="U181" s="9">
        <f>IF(N181="SUCCEEDED",IF(D181="B0",O181-P181,O181-Q181),"")</f>
        <v/>
      </c>
      <c r="V181" s="7" t="n">
        <v>0.2396976947784424</v>
      </c>
      <c r="W181" s="6" t="n">
        <v>0</v>
      </c>
      <c r="X181" s="7" t="n">
        <v>0</v>
      </c>
      <c r="Y181" s="6" t="n">
        <v>5</v>
      </c>
      <c r="Z181" s="6" t="n">
        <v>0</v>
      </c>
      <c r="AA181" s="6" t="n">
        <v>0</v>
      </c>
      <c r="AB181" s="6" t="n">
        <v>0</v>
      </c>
      <c r="AC181" s="10" t="n">
        <v>2107</v>
      </c>
      <c r="AD181" s="10" t="n">
        <v>5264</v>
      </c>
      <c r="AE181" s="10" t="n">
        <v>5057</v>
      </c>
      <c r="AF181" s="11" t="n">
        <v>0.07738325</v>
      </c>
      <c r="AG181" s="11" t="n">
        <v>0.0005484360705</v>
      </c>
      <c r="AH181" s="11" t="n">
        <v>0.000125</v>
      </c>
      <c r="AI181" s="12">
        <f>AF181+AG181+AH181</f>
        <v/>
      </c>
      <c r="AJ181" s="6" t="n">
        <v>0</v>
      </c>
      <c r="AK181" s="6" t="inlineStr"/>
    </row>
    <row r="182">
      <c r="A182" s="5" t="n">
        <v>2</v>
      </c>
      <c r="B182" s="5" t="n">
        <v>41</v>
      </c>
      <c r="C182" s="5" t="inlineStr">
        <is>
          <t>med3_4</t>
        </is>
      </c>
      <c r="D182" s="5" t="inlineStr">
        <is>
          <t>B0</t>
        </is>
      </c>
      <c r="E182" s="5" t="inlineStr">
        <is>
          <t>1st</t>
        </is>
      </c>
      <c r="F182" s="5" t="inlineStr">
        <is>
          <t>med3</t>
        </is>
      </c>
      <c r="G182" s="5" t="inlineStr">
        <is>
          <t>medium</t>
        </is>
      </c>
      <c r="H182" s="6" t="n">
        <v>0</v>
      </c>
      <c r="I182" s="6" t="n">
        <v>1</v>
      </c>
      <c r="J182" s="6" t="n">
        <v>0</v>
      </c>
      <c r="K182" s="6" t="n">
        <v>11</v>
      </c>
      <c r="L182" s="6" t="n">
        <v>6</v>
      </c>
      <c r="M182" s="6" t="n">
        <v>2</v>
      </c>
      <c r="N182" s="6" t="inlineStr">
        <is>
          <t>SUCCEEDED</t>
        </is>
      </c>
      <c r="O182" s="7" t="n">
        <v>403.893</v>
      </c>
      <c r="P182" s="7" t="n">
        <v>398.8030841350555</v>
      </c>
      <c r="Q182" s="7" t="n">
        <v>245.6339240074158</v>
      </c>
      <c r="R182" s="7" t="n">
        <v>258.4507420063019</v>
      </c>
      <c r="S182" s="8">
        <f>IF(N182="SUCCEEDED",P182/Q182,"")</f>
        <v/>
      </c>
      <c r="T182" s="8">
        <f>IF(N182="SUCCEEDED",P182/R182,"")</f>
        <v/>
      </c>
      <c r="U182" s="9">
        <f>IF(N182="SUCCEEDED",IF(D182="B0",O182-P182,O182-Q182),"")</f>
        <v/>
      </c>
      <c r="V182" s="7" t="n">
        <v>0.7261178493499756</v>
      </c>
      <c r="W182" s="6" t="n">
        <v>3</v>
      </c>
      <c r="X182" s="7" t="n">
        <v>1.3861</v>
      </c>
      <c r="Y182" s="6" t="n">
        <v>11</v>
      </c>
      <c r="Z182" s="6" t="n">
        <v>0</v>
      </c>
      <c r="AA182" s="6" t="n">
        <v>0</v>
      </c>
      <c r="AB182" s="6" t="n">
        <v>0</v>
      </c>
      <c r="AC182" s="10" t="n">
        <v>6469</v>
      </c>
      <c r="AD182" s="10" t="n">
        <v>23993</v>
      </c>
      <c r="AE182" s="10" t="n">
        <v>23426</v>
      </c>
      <c r="AF182" s="11" t="n">
        <v>0.34722275</v>
      </c>
      <c r="AG182" s="11" t="n">
        <v>0.0026831400713</v>
      </c>
      <c r="AH182" s="11" t="n">
        <v>0.000275</v>
      </c>
      <c r="AI182" s="12">
        <f>AF182+AG182+AH182</f>
        <v/>
      </c>
      <c r="AJ182" s="6" t="n">
        <v>1</v>
      </c>
      <c r="AK182" s="6" t="inlineStr"/>
    </row>
    <row r="183">
      <c r="A183" s="5" t="n">
        <v>2</v>
      </c>
      <c r="B183" s="5" t="n">
        <v>41</v>
      </c>
      <c r="C183" s="5" t="inlineStr">
        <is>
          <t>med3_4</t>
        </is>
      </c>
      <c r="D183" s="5" t="inlineStr">
        <is>
          <t>A1</t>
        </is>
      </c>
      <c r="E183" s="5" t="inlineStr">
        <is>
          <t>2nd</t>
        </is>
      </c>
      <c r="F183" s="5" t="inlineStr">
        <is>
          <t>med3</t>
        </is>
      </c>
      <c r="G183" s="5" t="inlineStr">
        <is>
          <t>medium</t>
        </is>
      </c>
      <c r="H183" s="6" t="n">
        <v>0</v>
      </c>
      <c r="I183" s="6" t="n">
        <v>1</v>
      </c>
      <c r="J183" s="6" t="n">
        <v>0</v>
      </c>
      <c r="K183" s="6" t="n">
        <v>11</v>
      </c>
      <c r="L183" s="6" t="n">
        <v>6</v>
      </c>
      <c r="M183" s="6" t="n">
        <v>2</v>
      </c>
      <c r="N183" s="6" t="inlineStr">
        <is>
          <t>SUCCEEDED</t>
        </is>
      </c>
      <c r="O183" s="7" t="n">
        <v>211.846</v>
      </c>
      <c r="P183" s="7" t="n">
        <v>390.5542373657227</v>
      </c>
      <c r="Q183" s="7" t="n">
        <v>210.2794132232666</v>
      </c>
      <c r="R183" s="7" t="n">
        <v>264.4334025382996</v>
      </c>
      <c r="S183" s="8">
        <f>IF(N183="SUCCEEDED",P183/Q183,"")</f>
        <v/>
      </c>
      <c r="T183" s="8">
        <f>IF(N183="SUCCEEDED",P183/R183,"")</f>
        <v/>
      </c>
      <c r="U183" s="9">
        <f>IF(N183="SUCCEEDED",IF(D183="B0",O183-P183,O183-Q183),"")</f>
        <v/>
      </c>
      <c r="V183" s="7" t="n">
        <v>837.1085689067841</v>
      </c>
      <c r="W183" s="6" t="n">
        <v>0</v>
      </c>
      <c r="X183" s="7" t="n">
        <v>0</v>
      </c>
      <c r="Y183" s="6" t="n">
        <v>11</v>
      </c>
      <c r="Z183" s="6" t="n">
        <v>0</v>
      </c>
      <c r="AA183" s="6" t="n">
        <v>0</v>
      </c>
      <c r="AB183" s="6" t="n">
        <v>0</v>
      </c>
      <c r="AC183" s="10" t="n">
        <v>6506</v>
      </c>
      <c r="AD183" s="10" t="n">
        <v>24096</v>
      </c>
      <c r="AE183" s="10" t="n">
        <v>23498</v>
      </c>
      <c r="AF183" s="11" t="n">
        <v>0.3487295</v>
      </c>
      <c r="AG183" s="11" t="n">
        <v>0.008194634295300001</v>
      </c>
      <c r="AH183" s="11" t="n">
        <v>0.0003</v>
      </c>
      <c r="AI183" s="12">
        <f>AF183+AG183+AH183</f>
        <v/>
      </c>
      <c r="AJ183" s="6" t="n">
        <v>1</v>
      </c>
      <c r="AK183" s="6" t="inlineStr"/>
    </row>
    <row r="184">
      <c r="A184" s="5" t="n">
        <v>2</v>
      </c>
      <c r="B184" s="5" t="n">
        <v>42</v>
      </c>
      <c r="C184" s="5" t="inlineStr">
        <is>
          <t>med1_12</t>
        </is>
      </c>
      <c r="D184" s="5" t="inlineStr">
        <is>
          <t>A1</t>
        </is>
      </c>
      <c r="E184" s="5" t="inlineStr">
        <is>
          <t>1st</t>
        </is>
      </c>
      <c r="F184" s="5" t="inlineStr">
        <is>
          <t>med1</t>
        </is>
      </c>
      <c r="G184" s="5" t="inlineStr">
        <is>
          <t>medium</t>
        </is>
      </c>
      <c r="H184" s="6" t="n">
        <v>0</v>
      </c>
      <c r="I184" s="6" t="n">
        <v>0</v>
      </c>
      <c r="J184" s="6" t="n">
        <v>0</v>
      </c>
      <c r="K184" s="6" t="n">
        <v>9</v>
      </c>
      <c r="L184" s="6" t="n">
        <v>4</v>
      </c>
      <c r="M184" s="6" t="n">
        <v>5</v>
      </c>
      <c r="N184" s="6" t="inlineStr">
        <is>
          <t>SUCCEEDED</t>
        </is>
      </c>
      <c r="O184" s="7" t="n">
        <v>136.914</v>
      </c>
      <c r="P184" s="7" t="n">
        <v>195.350649356842</v>
      </c>
      <c r="Q184" s="7" t="n">
        <v>136.2598083019257</v>
      </c>
      <c r="R184" s="7" t="n">
        <v>151.8574185371399</v>
      </c>
      <c r="S184" s="8">
        <f>IF(N184="SUCCEEDED",P184/Q184,"")</f>
        <v/>
      </c>
      <c r="T184" s="8">
        <f>IF(N184="SUCCEEDED",P184/R184,"")</f>
        <v/>
      </c>
      <c r="U184" s="9">
        <f>IF(N184="SUCCEEDED",IF(D184="B0",O184-P184,O184-Q184),"")</f>
        <v/>
      </c>
      <c r="V184" s="7" t="n">
        <v>114.9588086605072</v>
      </c>
      <c r="W184" s="6" t="n">
        <v>0</v>
      </c>
      <c r="X184" s="7" t="n">
        <v>0</v>
      </c>
      <c r="Y184" s="6" t="n">
        <v>9</v>
      </c>
      <c r="Z184" s="6" t="n">
        <v>0</v>
      </c>
      <c r="AA184" s="6" t="n">
        <v>0</v>
      </c>
      <c r="AB184" s="6" t="n">
        <v>0</v>
      </c>
      <c r="AC184" s="10" t="n">
        <v>3776</v>
      </c>
      <c r="AD184" s="10" t="n">
        <v>13345</v>
      </c>
      <c r="AE184" s="10" t="n">
        <v>13031</v>
      </c>
      <c r="AF184" s="11" t="n">
        <v>0.193438</v>
      </c>
      <c r="AG184" s="11" t="n">
        <v>0.0020774303781</v>
      </c>
      <c r="AH184" s="11" t="n">
        <v>0.00025</v>
      </c>
      <c r="AI184" s="12">
        <f>AF184+AG184+AH184</f>
        <v/>
      </c>
      <c r="AJ184" s="6" t="n">
        <v>0</v>
      </c>
      <c r="AK184" s="6" t="inlineStr"/>
    </row>
    <row r="185">
      <c r="A185" s="5" t="n">
        <v>2</v>
      </c>
      <c r="B185" s="5" t="n">
        <v>42</v>
      </c>
      <c r="C185" s="5" t="inlineStr">
        <is>
          <t>med1_12</t>
        </is>
      </c>
      <c r="D185" s="5" t="inlineStr">
        <is>
          <t>B0</t>
        </is>
      </c>
      <c r="E185" s="5" t="inlineStr">
        <is>
          <t>2nd</t>
        </is>
      </c>
      <c r="F185" s="5" t="inlineStr">
        <is>
          <t>med1</t>
        </is>
      </c>
      <c r="G185" s="5" t="inlineStr">
        <is>
          <t>medium</t>
        </is>
      </c>
      <c r="H185" s="6" t="n">
        <v>0</v>
      </c>
      <c r="I185" s="6" t="n">
        <v>0</v>
      </c>
      <c r="J185" s="6" t="n">
        <v>0</v>
      </c>
      <c r="K185" s="6" t="n">
        <v>9</v>
      </c>
      <c r="L185" s="6" t="n">
        <v>4</v>
      </c>
      <c r="M185" s="6" t="n">
        <v>5</v>
      </c>
      <c r="N185" s="6" t="inlineStr">
        <is>
          <t>SUCCEEDED</t>
        </is>
      </c>
      <c r="O185" s="7" t="n">
        <v>195.424</v>
      </c>
      <c r="P185" s="7" t="n">
        <v>192.8643383979797</v>
      </c>
      <c r="Q185" s="7" t="n">
        <v>134.7900955677032</v>
      </c>
      <c r="R185" s="7" t="n">
        <v>146.9570603370667</v>
      </c>
      <c r="S185" s="8">
        <f>IF(N185="SUCCEEDED",P185/Q185,"")</f>
        <v/>
      </c>
      <c r="T185" s="8">
        <f>IF(N185="SUCCEEDED",P185/R185,"")</f>
        <v/>
      </c>
      <c r="U185" s="9">
        <f>IF(N185="SUCCEEDED",IF(D185="B0",O185-P185,O185-Q185),"")</f>
        <v/>
      </c>
      <c r="V185" s="7" t="n">
        <v>0.4556574821472168</v>
      </c>
      <c r="W185" s="6" t="n">
        <v>0</v>
      </c>
      <c r="X185" s="7" t="n">
        <v>0</v>
      </c>
      <c r="Y185" s="6" t="n">
        <v>9</v>
      </c>
      <c r="Z185" s="6" t="n">
        <v>0</v>
      </c>
      <c r="AA185" s="6" t="n">
        <v>0</v>
      </c>
      <c r="AB185" s="6" t="n">
        <v>0</v>
      </c>
      <c r="AC185" s="10" t="n">
        <v>3802</v>
      </c>
      <c r="AD185" s="10" t="n">
        <v>13312</v>
      </c>
      <c r="AE185" s="10" t="n">
        <v>12999</v>
      </c>
      <c r="AF185" s="11" t="n">
        <v>0.1930215</v>
      </c>
      <c r="AG185" s="11" t="n">
        <v>0.0012968198084</v>
      </c>
      <c r="AH185" s="11" t="n">
        <v>0.000225</v>
      </c>
      <c r="AI185" s="12">
        <f>AF185+AG185+AH185</f>
        <v/>
      </c>
      <c r="AJ185" s="6" t="n">
        <v>0</v>
      </c>
      <c r="AK185" s="6" t="inlineStr"/>
    </row>
    <row r="186">
      <c r="A186" s="5" t="n">
        <v>2</v>
      </c>
      <c r="B186" s="5" t="n">
        <v>43</v>
      </c>
      <c r="C186" s="5" t="inlineStr">
        <is>
          <t>med3_1</t>
        </is>
      </c>
      <c r="D186" s="5" t="inlineStr">
        <is>
          <t>B0</t>
        </is>
      </c>
      <c r="E186" s="5" t="inlineStr">
        <is>
          <t>1st</t>
        </is>
      </c>
      <c r="F186" s="5" t="inlineStr">
        <is>
          <t>med3</t>
        </is>
      </c>
      <c r="G186" s="5" t="inlineStr">
        <is>
          <t>medium</t>
        </is>
      </c>
      <c r="H186" s="6" t="n">
        <v>0</v>
      </c>
      <c r="I186" s="6" t="n">
        <v>0</v>
      </c>
      <c r="J186" s="6" t="n">
        <v>0</v>
      </c>
      <c r="K186" s="6" t="n">
        <v>11</v>
      </c>
      <c r="L186" s="6" t="n">
        <v>6</v>
      </c>
      <c r="M186" s="6" t="n">
        <v>2</v>
      </c>
      <c r="N186" s="6" t="inlineStr">
        <is>
          <t>SUCCEEDED</t>
        </is>
      </c>
      <c r="O186" s="7" t="n">
        <v>248.425</v>
      </c>
      <c r="P186" s="7" t="n">
        <v>245.3682761192322</v>
      </c>
      <c r="Q186" s="7" t="n">
        <v>155.3485581874847</v>
      </c>
      <c r="R186" s="7" t="n">
        <v>156.0739805698395</v>
      </c>
      <c r="S186" s="8">
        <f>IF(N186="SUCCEEDED",P186/Q186,"")</f>
        <v/>
      </c>
      <c r="T186" s="8">
        <f>IF(N186="SUCCEEDED",P186/R186,"")</f>
        <v/>
      </c>
      <c r="U186" s="9">
        <f>IF(N186="SUCCEEDED",IF(D186="B0",O186-P186,O186-Q186),"")</f>
        <v/>
      </c>
      <c r="V186" s="7" t="n">
        <v>0.6974515914916992</v>
      </c>
      <c r="W186" s="6" t="n">
        <v>0</v>
      </c>
      <c r="X186" s="7" t="n">
        <v>0</v>
      </c>
      <c r="Y186" s="6" t="n">
        <v>11</v>
      </c>
      <c r="Z186" s="6" t="n">
        <v>0</v>
      </c>
      <c r="AA186" s="6" t="n">
        <v>0</v>
      </c>
      <c r="AB186" s="6" t="n">
        <v>0</v>
      </c>
      <c r="AC186" s="10" t="n">
        <v>6368</v>
      </c>
      <c r="AD186" s="10" t="n">
        <v>16548</v>
      </c>
      <c r="AE186" s="10" t="n">
        <v>16064</v>
      </c>
      <c r="AF186" s="11" t="n">
        <v>0.242816</v>
      </c>
      <c r="AG186" s="11" t="n">
        <v>0.0016498149047</v>
      </c>
      <c r="AH186" s="11" t="n">
        <v>0.000275</v>
      </c>
      <c r="AI186" s="12">
        <f>AF186+AG186+AH186</f>
        <v/>
      </c>
      <c r="AJ186" s="6" t="n">
        <v>0</v>
      </c>
      <c r="AK186" s="6" t="inlineStr"/>
    </row>
    <row r="187">
      <c r="A187" s="5" t="n">
        <v>2</v>
      </c>
      <c r="B187" s="5" t="n">
        <v>43</v>
      </c>
      <c r="C187" s="5" t="inlineStr">
        <is>
          <t>med3_1</t>
        </is>
      </c>
      <c r="D187" s="5" t="inlineStr">
        <is>
          <t>A1</t>
        </is>
      </c>
      <c r="E187" s="5" t="inlineStr">
        <is>
          <t>2nd</t>
        </is>
      </c>
      <c r="F187" s="5" t="inlineStr">
        <is>
          <t>med3</t>
        </is>
      </c>
      <c r="G187" s="5" t="inlineStr">
        <is>
          <t>medium</t>
        </is>
      </c>
      <c r="H187" s="6" t="n">
        <v>0</v>
      </c>
      <c r="I187" s="6" t="n">
        <v>0</v>
      </c>
      <c r="J187" s="6" t="n">
        <v>0</v>
      </c>
      <c r="K187" s="6" t="n">
        <v>11</v>
      </c>
      <c r="L187" s="6" t="n">
        <v>6</v>
      </c>
      <c r="M187" s="6" t="n">
        <v>2</v>
      </c>
      <c r="N187" s="6" t="inlineStr">
        <is>
          <t>SUCCEEDED</t>
        </is>
      </c>
      <c r="O187" s="7" t="n">
        <v>150.799</v>
      </c>
      <c r="P187" s="7" t="n">
        <v>256.4001708030701</v>
      </c>
      <c r="Q187" s="7" t="n">
        <v>149.3629221916199</v>
      </c>
      <c r="R187" s="7" t="n">
        <v>160.558562040329</v>
      </c>
      <c r="S187" s="8">
        <f>IF(N187="SUCCEEDED",P187/Q187,"")</f>
        <v/>
      </c>
      <c r="T187" s="8">
        <f>IF(N187="SUCCEEDED",P187/R187,"")</f>
        <v/>
      </c>
      <c r="U187" s="9">
        <f>IF(N187="SUCCEEDED",IF(D187="B0",O187-P187,O187-Q187),"")</f>
        <v/>
      </c>
      <c r="V187" s="7" t="n">
        <v>420.6086015701294</v>
      </c>
      <c r="W187" s="6" t="n">
        <v>0</v>
      </c>
      <c r="X187" s="7" t="n">
        <v>0</v>
      </c>
      <c r="Y187" s="6" t="n">
        <v>11</v>
      </c>
      <c r="Z187" s="6" t="n">
        <v>0</v>
      </c>
      <c r="AA187" s="6" t="n">
        <v>0</v>
      </c>
      <c r="AB187" s="6" t="n">
        <v>0</v>
      </c>
      <c r="AC187" s="10" t="n">
        <v>6421</v>
      </c>
      <c r="AD187" s="10" t="n">
        <v>17796</v>
      </c>
      <c r="AE187" s="10" t="n">
        <v>17292</v>
      </c>
      <c r="AF187" s="11" t="n">
        <v>0.26038075</v>
      </c>
      <c r="AG187" s="11" t="n">
        <v>0.0045231226045</v>
      </c>
      <c r="AH187" s="11" t="n">
        <v>0.0003</v>
      </c>
      <c r="AI187" s="12">
        <f>AF187+AG187+AH187</f>
        <v/>
      </c>
      <c r="AJ187" s="6" t="n">
        <v>0</v>
      </c>
      <c r="AK187" s="6" t="inlineStr"/>
    </row>
    <row r="188">
      <c r="A188" s="5" t="n">
        <v>2</v>
      </c>
      <c r="B188" s="5" t="n">
        <v>44</v>
      </c>
      <c r="C188" s="5" t="inlineStr">
        <is>
          <t>easy1_38</t>
        </is>
      </c>
      <c r="D188" s="5" t="inlineStr">
        <is>
          <t>A1</t>
        </is>
      </c>
      <c r="E188" s="5" t="inlineStr">
        <is>
          <t>1st</t>
        </is>
      </c>
      <c r="F188" s="5" t="inlineStr">
        <is>
          <t>easy1</t>
        </is>
      </c>
      <c r="G188" s="5" t="inlineStr">
        <is>
          <t>easy</t>
        </is>
      </c>
      <c r="H188" s="6" t="n">
        <v>1</v>
      </c>
      <c r="I188" s="6" t="n">
        <v>0</v>
      </c>
      <c r="J188" s="6" t="n">
        <v>0</v>
      </c>
      <c r="K188" s="6" t="n">
        <v>5</v>
      </c>
      <c r="L188" s="6" t="n">
        <v>4</v>
      </c>
      <c r="M188" s="6" t="n">
        <v>2</v>
      </c>
      <c r="N188" s="6" t="inlineStr">
        <is>
          <t>SUCCEEDED</t>
        </is>
      </c>
      <c r="O188" s="7" t="n">
        <v>58.484</v>
      </c>
      <c r="P188" s="7" t="n">
        <v>79.57925486564636</v>
      </c>
      <c r="Q188" s="7" t="n">
        <v>57.37246251106262</v>
      </c>
      <c r="R188" s="7" t="n">
        <v>60.28242778778076</v>
      </c>
      <c r="S188" s="8">
        <f>IF(N188="SUCCEEDED",P188/Q188,"")</f>
        <v/>
      </c>
      <c r="T188" s="8">
        <f>IF(N188="SUCCEEDED",P188/R188,"")</f>
        <v/>
      </c>
      <c r="U188" s="9">
        <f>IF(N188="SUCCEEDED",IF(D188="B0",O188-P188,O188-Q188),"")</f>
        <v/>
      </c>
      <c r="V188" s="7" t="n">
        <v>76.3791446685791</v>
      </c>
      <c r="W188" s="6" t="n">
        <v>0</v>
      </c>
      <c r="X188" s="7" t="n">
        <v>0</v>
      </c>
      <c r="Y188" s="6" t="n">
        <v>5</v>
      </c>
      <c r="Z188" s="6" t="n">
        <v>0</v>
      </c>
      <c r="AA188" s="6" t="n">
        <v>0</v>
      </c>
      <c r="AB188" s="6" t="n">
        <v>0</v>
      </c>
      <c r="AC188" s="10" t="n">
        <v>2005</v>
      </c>
      <c r="AD188" s="10" t="n">
        <v>5866</v>
      </c>
      <c r="AE188" s="10" t="n">
        <v>5696</v>
      </c>
      <c r="AF188" s="11" t="n">
        <v>0.08563274999999999</v>
      </c>
      <c r="AG188" s="11" t="n">
        <v>0.0010444118837</v>
      </c>
      <c r="AH188" s="11" t="n">
        <v>0.00015</v>
      </c>
      <c r="AI188" s="12">
        <f>AF188+AG188+AH188</f>
        <v/>
      </c>
      <c r="AJ188" s="6" t="n">
        <v>0</v>
      </c>
      <c r="AK188" s="6" t="inlineStr"/>
    </row>
    <row r="189">
      <c r="A189" s="5" t="n">
        <v>2</v>
      </c>
      <c r="B189" s="5" t="n">
        <v>44</v>
      </c>
      <c r="C189" s="5" t="inlineStr">
        <is>
          <t>easy1_38</t>
        </is>
      </c>
      <c r="D189" s="5" t="inlineStr">
        <is>
          <t>B0</t>
        </is>
      </c>
      <c r="E189" s="5" t="inlineStr">
        <is>
          <t>2nd</t>
        </is>
      </c>
      <c r="F189" s="5" t="inlineStr">
        <is>
          <t>easy1</t>
        </is>
      </c>
      <c r="G189" s="5" t="inlineStr">
        <is>
          <t>easy</t>
        </is>
      </c>
      <c r="H189" s="6" t="n">
        <v>1</v>
      </c>
      <c r="I189" s="6" t="n">
        <v>0</v>
      </c>
      <c r="J189" s="6" t="n">
        <v>0</v>
      </c>
      <c r="K189" s="6" t="n">
        <v>5</v>
      </c>
      <c r="L189" s="6" t="n">
        <v>4</v>
      </c>
      <c r="M189" s="6" t="n">
        <v>2</v>
      </c>
      <c r="N189" s="6" t="inlineStr">
        <is>
          <t>SUCCEEDED</t>
        </is>
      </c>
      <c r="O189" s="7" t="n">
        <v>96.83499999999999</v>
      </c>
      <c r="P189" s="7" t="n">
        <v>95.45942759513855</v>
      </c>
      <c r="Q189" s="7" t="n">
        <v>67.36334013938904</v>
      </c>
      <c r="R189" s="7" t="n">
        <v>79.77238202095032</v>
      </c>
      <c r="S189" s="8">
        <f>IF(N189="SUCCEEDED",P189/Q189,"")</f>
        <v/>
      </c>
      <c r="T189" s="8">
        <f>IF(N189="SUCCEEDED",P189/R189,"")</f>
        <v/>
      </c>
      <c r="U189" s="9">
        <f>IF(N189="SUCCEEDED",IF(D189="B0",O189-P189,O189-Q189),"")</f>
        <v/>
      </c>
      <c r="V189" s="7" t="n">
        <v>0.2313399314880371</v>
      </c>
      <c r="W189" s="6" t="n">
        <v>0</v>
      </c>
      <c r="X189" s="7" t="n">
        <v>0</v>
      </c>
      <c r="Y189" s="6" t="n">
        <v>5</v>
      </c>
      <c r="Z189" s="6" t="n">
        <v>0</v>
      </c>
      <c r="AA189" s="6" t="n">
        <v>0</v>
      </c>
      <c r="AB189" s="6" t="n">
        <v>0</v>
      </c>
      <c r="AC189" s="10" t="n">
        <v>2025</v>
      </c>
      <c r="AD189" s="10" t="n">
        <v>5828</v>
      </c>
      <c r="AE189" s="10" t="n">
        <v>5658</v>
      </c>
      <c r="AF189" s="11" t="n">
        <v>0.08513575</v>
      </c>
      <c r="AG189" s="11" t="n">
        <v>0.0006427232086</v>
      </c>
      <c r="AH189" s="11" t="n">
        <v>0.000125</v>
      </c>
      <c r="AI189" s="12">
        <f>AF189+AG189+AH189</f>
        <v/>
      </c>
      <c r="AJ189" s="6" t="n">
        <v>0</v>
      </c>
      <c r="AK189" s="6" t="inlineStr"/>
    </row>
    <row r="190">
      <c r="A190" s="5" t="n">
        <v>2</v>
      </c>
      <c r="B190" s="5" t="n">
        <v>45</v>
      </c>
      <c r="C190" s="5" t="inlineStr">
        <is>
          <t>easy1_46</t>
        </is>
      </c>
      <c r="D190" s="5" t="inlineStr">
        <is>
          <t>B0</t>
        </is>
      </c>
      <c r="E190" s="5" t="inlineStr">
        <is>
          <t>1st</t>
        </is>
      </c>
      <c r="F190" s="5" t="inlineStr">
        <is>
          <t>easy1</t>
        </is>
      </c>
      <c r="G190" s="5" t="inlineStr">
        <is>
          <t>easy</t>
        </is>
      </c>
      <c r="H190" s="6" t="n">
        <v>1</v>
      </c>
      <c r="I190" s="6" t="n">
        <v>0</v>
      </c>
      <c r="J190" s="6" t="n">
        <v>0</v>
      </c>
      <c r="K190" s="6" t="n">
        <v>5</v>
      </c>
      <c r="L190" s="6" t="n">
        <v>4</v>
      </c>
      <c r="M190" s="6" t="n">
        <v>2</v>
      </c>
      <c r="N190" s="6" t="inlineStr">
        <is>
          <t>SUCCEEDED</t>
        </is>
      </c>
      <c r="O190" s="7" t="n">
        <v>78.319</v>
      </c>
      <c r="P190" s="7" t="n">
        <v>76.90880942344666</v>
      </c>
      <c r="Q190" s="7" t="n">
        <v>54.9854474067688</v>
      </c>
      <c r="R190" s="7" t="n">
        <v>65.34186577796936</v>
      </c>
      <c r="S190" s="8">
        <f>IF(N190="SUCCEEDED",P190/Q190,"")</f>
        <v/>
      </c>
      <c r="T190" s="8">
        <f>IF(N190="SUCCEEDED",P190/R190,"")</f>
        <v/>
      </c>
      <c r="U190" s="9">
        <f>IF(N190="SUCCEEDED",IF(D190="B0",O190-P190,O190-Q190),"")</f>
        <v/>
      </c>
      <c r="V190" s="7" t="n">
        <v>0.2471365928649902</v>
      </c>
      <c r="W190" s="6" t="n">
        <v>0</v>
      </c>
      <c r="X190" s="7" t="n">
        <v>0</v>
      </c>
      <c r="Y190" s="6" t="n">
        <v>5</v>
      </c>
      <c r="Z190" s="6" t="n">
        <v>0</v>
      </c>
      <c r="AA190" s="6" t="n">
        <v>0</v>
      </c>
      <c r="AB190" s="6" t="n">
        <v>0</v>
      </c>
      <c r="AC190" s="10" t="n">
        <v>1952</v>
      </c>
      <c r="AD190" s="10" t="n">
        <v>4975</v>
      </c>
      <c r="AE190" s="10" t="n">
        <v>4832</v>
      </c>
      <c r="AF190" s="11" t="n">
        <v>0.07306599999999999</v>
      </c>
      <c r="AG190" s="11" t="n">
        <v>0.0005190625903</v>
      </c>
      <c r="AH190" s="11" t="n">
        <v>0.000125</v>
      </c>
      <c r="AI190" s="12">
        <f>AF190+AG190+AH190</f>
        <v/>
      </c>
      <c r="AJ190" s="6" t="n">
        <v>1</v>
      </c>
      <c r="AK190" s="6" t="inlineStr"/>
    </row>
    <row r="191">
      <c r="A191" s="5" t="n">
        <v>2</v>
      </c>
      <c r="B191" s="5" t="n">
        <v>45</v>
      </c>
      <c r="C191" s="5" t="inlineStr">
        <is>
          <t>easy1_46</t>
        </is>
      </c>
      <c r="D191" s="5" t="inlineStr">
        <is>
          <t>A1</t>
        </is>
      </c>
      <c r="E191" s="5" t="inlineStr">
        <is>
          <t>2nd</t>
        </is>
      </c>
      <c r="F191" s="5" t="inlineStr">
        <is>
          <t>easy1</t>
        </is>
      </c>
      <c r="G191" s="5" t="inlineStr">
        <is>
          <t>easy</t>
        </is>
      </c>
      <c r="H191" s="6" t="n">
        <v>1</v>
      </c>
      <c r="I191" s="6" t="n">
        <v>0</v>
      </c>
      <c r="J191" s="6" t="n">
        <v>0</v>
      </c>
      <c r="K191" s="6" t="n">
        <v>5</v>
      </c>
      <c r="L191" s="6" t="n">
        <v>4</v>
      </c>
      <c r="M191" s="6" t="n">
        <v>2</v>
      </c>
      <c r="N191" s="6" t="inlineStr">
        <is>
          <t>SUCCEEDED</t>
        </is>
      </c>
      <c r="O191" s="7" t="n">
        <v>42.514</v>
      </c>
      <c r="P191" s="7" t="n">
        <v>60.38273024559021</v>
      </c>
      <c r="Q191" s="7" t="n">
        <v>42.03755831718445</v>
      </c>
      <c r="R191" s="7" t="n">
        <v>50.90504503250122</v>
      </c>
      <c r="S191" s="8">
        <f>IF(N191="SUCCEEDED",P191/Q191,"")</f>
        <v/>
      </c>
      <c r="T191" s="8">
        <f>IF(N191="SUCCEEDED",P191/R191,"")</f>
        <v/>
      </c>
      <c r="U191" s="9">
        <f>IF(N191="SUCCEEDED",IF(D191="B0",O191-P191,O191-Q191),"")</f>
        <v/>
      </c>
      <c r="V191" s="7" t="n">
        <v>43.74895215034485</v>
      </c>
      <c r="W191" s="6" t="n">
        <v>0</v>
      </c>
      <c r="X191" s="7" t="n">
        <v>0</v>
      </c>
      <c r="Y191" s="6" t="n">
        <v>5</v>
      </c>
      <c r="Z191" s="6" t="n">
        <v>0</v>
      </c>
      <c r="AA191" s="6" t="n">
        <v>0</v>
      </c>
      <c r="AB191" s="6" t="n">
        <v>0</v>
      </c>
      <c r="AC191" s="10" t="n">
        <v>1937</v>
      </c>
      <c r="AD191" s="10" t="n">
        <v>4017</v>
      </c>
      <c r="AE191" s="10" t="n">
        <v>3875</v>
      </c>
      <c r="AF191" s="11" t="n">
        <v>0.05962775</v>
      </c>
      <c r="AG191" s="11" t="n">
        <v>0.0006982101527</v>
      </c>
      <c r="AH191" s="11" t="n">
        <v>0.00015</v>
      </c>
      <c r="AI191" s="12">
        <f>AF191+AG191+AH191</f>
        <v/>
      </c>
      <c r="AJ191" s="6" t="n">
        <v>1</v>
      </c>
      <c r="AK191" s="6" t="inlineStr"/>
    </row>
    <row r="192">
      <c r="A192" s="5" t="n">
        <v>2</v>
      </c>
      <c r="B192" s="5" t="n">
        <v>46</v>
      </c>
      <c r="C192" s="5" t="inlineStr">
        <is>
          <t>med3_19</t>
        </is>
      </c>
      <c r="D192" s="5" t="inlineStr">
        <is>
          <t>A1</t>
        </is>
      </c>
      <c r="E192" s="5" t="inlineStr">
        <is>
          <t>1st</t>
        </is>
      </c>
      <c r="F192" s="5" t="inlineStr">
        <is>
          <t>med3</t>
        </is>
      </c>
      <c r="G192" s="5" t="inlineStr">
        <is>
          <t>medium</t>
        </is>
      </c>
      <c r="H192" s="6" t="n">
        <v>0</v>
      </c>
      <c r="I192" s="6" t="n">
        <v>1</v>
      </c>
      <c r="J192" s="6" t="n">
        <v>0</v>
      </c>
      <c r="K192" s="6" t="n">
        <v>11</v>
      </c>
      <c r="L192" s="6" t="n">
        <v>6</v>
      </c>
      <c r="M192" s="6" t="n">
        <v>2</v>
      </c>
      <c r="N192" s="6" t="inlineStr">
        <is>
          <t>SUCCEEDED</t>
        </is>
      </c>
      <c r="O192" s="7" t="n">
        <v>131.964</v>
      </c>
      <c r="P192" s="7" t="n">
        <v>197.5449290275574</v>
      </c>
      <c r="Q192" s="7" t="n">
        <v>130.6133546829224</v>
      </c>
      <c r="R192" s="7" t="n">
        <v>130.6133546829224</v>
      </c>
      <c r="S192" s="8">
        <f>IF(N192="SUCCEEDED",P192/Q192,"")</f>
        <v/>
      </c>
      <c r="T192" s="8">
        <f>IF(N192="SUCCEEDED",P192/R192,"")</f>
        <v/>
      </c>
      <c r="U192" s="9">
        <f>IF(N192="SUCCEEDED",IF(D192="B0",O192-P192,O192-Q192),"")</f>
        <v/>
      </c>
      <c r="V192" s="7" t="n">
        <v>477.242849111557</v>
      </c>
      <c r="W192" s="6" t="n">
        <v>0</v>
      </c>
      <c r="X192" s="7" t="n">
        <v>0</v>
      </c>
      <c r="Y192" s="6" t="n">
        <v>11</v>
      </c>
      <c r="Z192" s="6" t="n">
        <v>0</v>
      </c>
      <c r="AA192" s="6" t="n">
        <v>0</v>
      </c>
      <c r="AB192" s="6" t="n">
        <v>0</v>
      </c>
      <c r="AC192" s="10" t="n">
        <v>6345</v>
      </c>
      <c r="AD192" s="10" t="n">
        <v>13194</v>
      </c>
      <c r="AE192" s="10" t="n">
        <v>12794</v>
      </c>
      <c r="AF192" s="11" t="n">
        <v>0.19581975</v>
      </c>
      <c r="AG192" s="11" t="n">
        <v>0.0045087491993</v>
      </c>
      <c r="AH192" s="11" t="n">
        <v>0.0003</v>
      </c>
      <c r="AI192" s="12">
        <f>AF192+AG192+AH192</f>
        <v/>
      </c>
      <c r="AJ192" s="6" t="n">
        <v>0</v>
      </c>
      <c r="AK192" s="6" t="inlineStr"/>
    </row>
    <row r="193">
      <c r="A193" s="5" t="n">
        <v>2</v>
      </c>
      <c r="B193" s="5" t="n">
        <v>46</v>
      </c>
      <c r="C193" s="5" t="inlineStr">
        <is>
          <t>med3_19</t>
        </is>
      </c>
      <c r="D193" s="5" t="inlineStr">
        <is>
          <t>B0</t>
        </is>
      </c>
      <c r="E193" s="5" t="inlineStr">
        <is>
          <t>2nd</t>
        </is>
      </c>
      <c r="F193" s="5" t="inlineStr">
        <is>
          <t>med3</t>
        </is>
      </c>
      <c r="G193" s="5" t="inlineStr">
        <is>
          <t>medium</t>
        </is>
      </c>
      <c r="H193" s="6" t="n">
        <v>0</v>
      </c>
      <c r="I193" s="6" t="n">
        <v>1</v>
      </c>
      <c r="J193" s="6" t="n">
        <v>0</v>
      </c>
      <c r="K193" s="6" t="n">
        <v>11</v>
      </c>
      <c r="L193" s="6" t="n">
        <v>6</v>
      </c>
      <c r="M193" s="6" t="n">
        <v>2</v>
      </c>
      <c r="N193" s="6" t="inlineStr">
        <is>
          <t>SUCCEEDED</t>
        </is>
      </c>
      <c r="O193" s="7" t="n">
        <v>237.854</v>
      </c>
      <c r="P193" s="7" t="n">
        <v>234.6193661689758</v>
      </c>
      <c r="Q193" s="7" t="n">
        <v>123.8166167736053</v>
      </c>
      <c r="R193" s="7" t="n">
        <v>147.8191494941711</v>
      </c>
      <c r="S193" s="8">
        <f>IF(N193="SUCCEEDED",P193/Q193,"")</f>
        <v/>
      </c>
      <c r="T193" s="8">
        <f>IF(N193="SUCCEEDED",P193/R193,"")</f>
        <v/>
      </c>
      <c r="U193" s="9">
        <f>IF(N193="SUCCEEDED",IF(D193="B0",O193-P193,O193-Q193),"")</f>
        <v/>
      </c>
      <c r="V193" s="7" t="n">
        <v>0.6920435428619385</v>
      </c>
      <c r="W193" s="6" t="n">
        <v>0</v>
      </c>
      <c r="X193" s="7" t="n">
        <v>0</v>
      </c>
      <c r="Y193" s="6" t="n">
        <v>11</v>
      </c>
      <c r="Z193" s="6" t="n">
        <v>0</v>
      </c>
      <c r="AA193" s="6" t="n">
        <v>0</v>
      </c>
      <c r="AB193" s="6" t="n">
        <v>0</v>
      </c>
      <c r="AC193" s="10" t="n">
        <v>6398</v>
      </c>
      <c r="AD193" s="10" t="n">
        <v>13984</v>
      </c>
      <c r="AE193" s="10" t="n">
        <v>13502</v>
      </c>
      <c r="AF193" s="11" t="n">
        <v>0.2069725</v>
      </c>
      <c r="AG193" s="11" t="n">
        <v>0.0015786412155</v>
      </c>
      <c r="AH193" s="11" t="n">
        <v>0.000275</v>
      </c>
      <c r="AI193" s="12">
        <f>AF193+AG193+AH193</f>
        <v/>
      </c>
      <c r="AJ193" s="6" t="n">
        <v>1</v>
      </c>
      <c r="AK193" s="6" t="inlineStr"/>
    </row>
    <row r="194">
      <c r="A194" s="5" t="n">
        <v>2</v>
      </c>
      <c r="B194" s="5" t="n">
        <v>47</v>
      </c>
      <c r="C194" s="5" t="inlineStr">
        <is>
          <t>hard1_36</t>
        </is>
      </c>
      <c r="D194" s="5" t="inlineStr">
        <is>
          <t>B0</t>
        </is>
      </c>
      <c r="E194" s="5" t="inlineStr">
        <is>
          <t>1st</t>
        </is>
      </c>
      <c r="F194" s="5" t="inlineStr">
        <is>
          <t>hard1</t>
        </is>
      </c>
      <c r="G194" s="5" t="inlineStr">
        <is>
          <t>hard</t>
        </is>
      </c>
      <c r="H194" s="6" t="n">
        <v>0</v>
      </c>
      <c r="I194" s="6" t="n">
        <v>0</v>
      </c>
      <c r="J194" s="6" t="n">
        <v>0</v>
      </c>
      <c r="K194" s="6" t="n">
        <v>16</v>
      </c>
      <c r="L194" s="6" t="n">
        <v>9</v>
      </c>
      <c r="M194" s="6" t="n">
        <v>5</v>
      </c>
      <c r="N194" s="6" t="inlineStr">
        <is>
          <t>SUCCEEDED</t>
        </is>
      </c>
      <c r="O194" s="7" t="n">
        <v>283.693</v>
      </c>
      <c r="P194" s="7" t="n">
        <v>279.1593894958496</v>
      </c>
      <c r="Q194" s="7" t="n">
        <v>210.625198841095</v>
      </c>
      <c r="R194" s="7" t="n">
        <v>239.5052855014801</v>
      </c>
      <c r="S194" s="8">
        <f>IF(N194="SUCCEEDED",P194/Q194,"")</f>
        <v/>
      </c>
      <c r="T194" s="8">
        <f>IF(N194="SUCCEEDED",P194/R194,"")</f>
        <v/>
      </c>
      <c r="U194" s="9">
        <f>IF(N194="SUCCEEDED",IF(D194="B0",O194-P194,O194-Q194),"")</f>
        <v/>
      </c>
      <c r="V194" s="7" t="n">
        <v>1.06453800201416</v>
      </c>
      <c r="W194" s="6" t="n">
        <v>0</v>
      </c>
      <c r="X194" s="7" t="n">
        <v>0</v>
      </c>
      <c r="Y194" s="6" t="n">
        <v>16</v>
      </c>
      <c r="Z194" s="6" t="n">
        <v>0</v>
      </c>
      <c r="AA194" s="6" t="n">
        <v>0</v>
      </c>
      <c r="AB194" s="6" t="n">
        <v>0</v>
      </c>
      <c r="AC194" s="10" t="n">
        <v>9981</v>
      </c>
      <c r="AD194" s="10" t="n">
        <v>20062</v>
      </c>
      <c r="AE194" s="10" t="n">
        <v>19503</v>
      </c>
      <c r="AF194" s="11" t="n">
        <v>0.29833475</v>
      </c>
      <c r="AG194" s="11" t="n">
        <v>0.0018821360613</v>
      </c>
      <c r="AH194" s="11" t="n">
        <v>0.0004</v>
      </c>
      <c r="AI194" s="12">
        <f>AF194+AG194+AH194</f>
        <v/>
      </c>
      <c r="AJ194" s="6" t="n">
        <v>0</v>
      </c>
      <c r="AK194" s="6" t="inlineStr"/>
    </row>
    <row r="195">
      <c r="A195" s="5" t="n">
        <v>2</v>
      </c>
      <c r="B195" s="5" t="n">
        <v>47</v>
      </c>
      <c r="C195" s="5" t="inlineStr">
        <is>
          <t>hard1_36</t>
        </is>
      </c>
      <c r="D195" s="5" t="inlineStr">
        <is>
          <t>A1</t>
        </is>
      </c>
      <c r="E195" s="5" t="inlineStr">
        <is>
          <t>2nd</t>
        </is>
      </c>
      <c r="F195" s="5" t="inlineStr">
        <is>
          <t>hard1</t>
        </is>
      </c>
      <c r="G195" s="5" t="inlineStr">
        <is>
          <t>hard</t>
        </is>
      </c>
      <c r="H195" s="6" t="n">
        <v>0</v>
      </c>
      <c r="I195" s="6" t="n">
        <v>0</v>
      </c>
      <c r="J195" s="6" t="n">
        <v>0</v>
      </c>
      <c r="K195" s="6" t="n">
        <v>16</v>
      </c>
      <c r="L195" s="6" t="n">
        <v>9</v>
      </c>
      <c r="M195" s="6" t="n">
        <v>5</v>
      </c>
      <c r="N195" s="6" t="inlineStr">
        <is>
          <t>SUCCEEDED</t>
        </is>
      </c>
      <c r="O195" s="7" t="n">
        <v>270.686</v>
      </c>
      <c r="P195" s="7" t="n">
        <v>349.5019929409027</v>
      </c>
      <c r="Q195" s="7" t="n">
        <v>268.6903605461121</v>
      </c>
      <c r="R195" s="7" t="n">
        <v>298.9302768707275</v>
      </c>
      <c r="S195" s="8">
        <f>IF(N195="SUCCEEDED",P195/Q195,"")</f>
        <v/>
      </c>
      <c r="T195" s="8">
        <f>IF(N195="SUCCEEDED",P195/R195,"")</f>
        <v/>
      </c>
      <c r="U195" s="9">
        <f>IF(N195="SUCCEEDED",IF(D195="B0",O195-P195,O195-Q195),"")</f>
        <v/>
      </c>
      <c r="V195" s="7" t="n">
        <v>1085.39137172699</v>
      </c>
      <c r="W195" s="6" t="n">
        <v>0</v>
      </c>
      <c r="X195" s="7" t="n">
        <v>0</v>
      </c>
      <c r="Y195" s="6" t="n">
        <v>16</v>
      </c>
      <c r="Z195" s="6" t="n">
        <v>0</v>
      </c>
      <c r="AA195" s="6" t="n">
        <v>0</v>
      </c>
      <c r="AB195" s="6" t="n">
        <v>0</v>
      </c>
      <c r="AC195" s="10" t="n">
        <v>9975</v>
      </c>
      <c r="AD195" s="10" t="n">
        <v>20475</v>
      </c>
      <c r="AE195" s="10" t="n">
        <v>19938</v>
      </c>
      <c r="AF195" s="11" t="n">
        <v>0.30410625</v>
      </c>
      <c r="AG195" s="11" t="n">
        <v>0.0095808812215</v>
      </c>
      <c r="AH195" s="11" t="n">
        <v>0.000425</v>
      </c>
      <c r="AI195" s="12">
        <f>AF195+AG195+AH195</f>
        <v/>
      </c>
      <c r="AJ195" s="6" t="n">
        <v>0</v>
      </c>
      <c r="AK195" s="6" t="inlineStr"/>
    </row>
    <row r="196">
      <c r="A196" s="5" t="n">
        <v>2</v>
      </c>
      <c r="B196" s="5" t="n">
        <v>48</v>
      </c>
      <c r="C196" s="5" t="inlineStr">
        <is>
          <t>protein_1CAD_query_6_mask_4</t>
        </is>
      </c>
      <c r="D196" s="5" t="inlineStr">
        <is>
          <t>A1</t>
        </is>
      </c>
      <c r="E196" s="5" t="inlineStr">
        <is>
          <t>1st</t>
        </is>
      </c>
      <c r="F196" s="5" t="inlineStr">
        <is>
          <t>hard4</t>
        </is>
      </c>
      <c r="G196" s="5" t="inlineStr">
        <is>
          <t>hard</t>
        </is>
      </c>
      <c r="H196" s="6" t="n">
        <v>0</v>
      </c>
      <c r="I196" s="6" t="n">
        <v>0</v>
      </c>
      <c r="J196" s="6" t="n">
        <v>0</v>
      </c>
      <c r="K196" s="6" t="n">
        <v>6</v>
      </c>
      <c r="L196" s="6" t="n">
        <v>5</v>
      </c>
      <c r="M196" s="6" t="n">
        <v>2</v>
      </c>
      <c r="N196" s="6" t="inlineStr">
        <is>
          <t>SUCCEEDED</t>
        </is>
      </c>
      <c r="O196" s="7" t="n">
        <v>133.97</v>
      </c>
      <c r="P196" s="7" t="n">
        <v>140.4757750034332</v>
      </c>
      <c r="Q196" s="7" t="n">
        <v>132.6776299476624</v>
      </c>
      <c r="R196" s="7" t="n">
        <v>132.6776299476624</v>
      </c>
      <c r="S196" s="8">
        <f>IF(N196="SUCCEEDED",P196/Q196,"")</f>
        <v/>
      </c>
      <c r="T196" s="8">
        <f>IF(N196="SUCCEEDED",P196/R196,"")</f>
        <v/>
      </c>
      <c r="U196" s="9">
        <f>IF(N196="SUCCEEDED",IF(D196="B0",O196-P196,O196-Q196),"")</f>
        <v/>
      </c>
      <c r="V196" s="7" t="n">
        <v>194.5269322395325</v>
      </c>
      <c r="W196" s="6" t="n">
        <v>0</v>
      </c>
      <c r="X196" s="7" t="n">
        <v>0</v>
      </c>
      <c r="Y196" s="6" t="n">
        <v>6</v>
      </c>
      <c r="Z196" s="6" t="n">
        <v>0</v>
      </c>
      <c r="AA196" s="6" t="n">
        <v>0</v>
      </c>
      <c r="AB196" s="6" t="n">
        <v>0</v>
      </c>
      <c r="AC196" s="10" t="n">
        <v>87935</v>
      </c>
      <c r="AD196" s="10" t="n">
        <v>9814</v>
      </c>
      <c r="AE196" s="10" t="n">
        <v>9582</v>
      </c>
      <c r="AF196" s="11" t="n">
        <v>0.29128225</v>
      </c>
      <c r="AG196" s="11" t="n">
        <v>0.0022387111875</v>
      </c>
      <c r="AH196" s="11" t="n">
        <v>0.000175</v>
      </c>
      <c r="AI196" s="12">
        <f>AF196+AG196+AH196</f>
        <v/>
      </c>
      <c r="AJ196" s="6" t="n">
        <v>0</v>
      </c>
      <c r="AK196" s="6" t="inlineStr"/>
    </row>
    <row r="197">
      <c r="A197" s="5" t="n">
        <v>2</v>
      </c>
      <c r="B197" s="5" t="n">
        <v>48</v>
      </c>
      <c r="C197" s="5" t="inlineStr">
        <is>
          <t>protein_1CAD_query_6_mask_4</t>
        </is>
      </c>
      <c r="D197" s="5" t="inlineStr">
        <is>
          <t>B0</t>
        </is>
      </c>
      <c r="E197" s="5" t="inlineStr">
        <is>
          <t>2nd</t>
        </is>
      </c>
      <c r="F197" s="5" t="inlineStr">
        <is>
          <t>hard4</t>
        </is>
      </c>
      <c r="G197" s="5" t="inlineStr">
        <is>
          <t>hard</t>
        </is>
      </c>
      <c r="H197" s="6" t="n">
        <v>0</v>
      </c>
      <c r="I197" s="6" t="n">
        <v>0</v>
      </c>
      <c r="J197" s="6" t="n">
        <v>0</v>
      </c>
      <c r="K197" s="6" t="n">
        <v>6</v>
      </c>
      <c r="L197" s="6" t="n">
        <v>5</v>
      </c>
      <c r="M197" s="6" t="n">
        <v>2</v>
      </c>
      <c r="N197" s="6" t="inlineStr">
        <is>
          <t>SUCCEEDED</t>
        </is>
      </c>
      <c r="O197" s="7" t="n">
        <v>125.855</v>
      </c>
      <c r="P197" s="7" t="n">
        <v>123.9155404567719</v>
      </c>
      <c r="Q197" s="7" t="n">
        <v>110.8911552429199</v>
      </c>
      <c r="R197" s="7" t="n">
        <v>110.8911552429199</v>
      </c>
      <c r="S197" s="8">
        <f>IF(N197="SUCCEEDED",P197/Q197,"")</f>
        <v/>
      </c>
      <c r="T197" s="8">
        <f>IF(N197="SUCCEEDED",P197/R197,"")</f>
        <v/>
      </c>
      <c r="U197" s="9">
        <f>IF(N197="SUCCEEDED",IF(D197="B0",O197-P197,O197-Q197),"")</f>
        <v/>
      </c>
      <c r="V197" s="7" t="n">
        <v>0.4790117740631104</v>
      </c>
      <c r="W197" s="6" t="n">
        <v>0</v>
      </c>
      <c r="X197" s="7" t="n">
        <v>0</v>
      </c>
      <c r="Y197" s="6" t="n">
        <v>6</v>
      </c>
      <c r="Z197" s="6" t="n">
        <v>0</v>
      </c>
      <c r="AA197" s="6" t="n">
        <v>0</v>
      </c>
      <c r="AB197" s="6" t="n">
        <v>0</v>
      </c>
      <c r="AC197" s="10" t="n">
        <v>87870</v>
      </c>
      <c r="AD197" s="10" t="n">
        <v>9019</v>
      </c>
      <c r="AE197" s="10" t="n">
        <v>8825</v>
      </c>
      <c r="AF197" s="11" t="n">
        <v>0.2800385</v>
      </c>
      <c r="AG197" s="11" t="n">
        <v>0.0008347975013000001</v>
      </c>
      <c r="AH197" s="11" t="n">
        <v>0.00015</v>
      </c>
      <c r="AI197" s="12">
        <f>AF197+AG197+AH197</f>
        <v/>
      </c>
      <c r="AJ197" s="6" t="n">
        <v>0</v>
      </c>
      <c r="AK197" s="6" t="inlineStr"/>
    </row>
    <row r="198">
      <c r="A198" s="5" t="n">
        <v>2</v>
      </c>
      <c r="B198" s="5" t="n">
        <v>49</v>
      </c>
      <c r="C198" s="5" t="inlineStr">
        <is>
          <t>med2_1</t>
        </is>
      </c>
      <c r="D198" s="5" t="inlineStr">
        <is>
          <t>B0</t>
        </is>
      </c>
      <c r="E198" s="5" t="inlineStr">
        <is>
          <t>1st</t>
        </is>
      </c>
      <c r="F198" s="5" t="inlineStr">
        <is>
          <t>med2</t>
        </is>
      </c>
      <c r="G198" s="5" t="inlineStr">
        <is>
          <t>medium</t>
        </is>
      </c>
      <c r="H198" s="6" t="n">
        <v>0</v>
      </c>
      <c r="I198" s="6" t="n">
        <v>0</v>
      </c>
      <c r="J198" s="6" t="n">
        <v>0</v>
      </c>
      <c r="K198" s="6" t="n">
        <v>9</v>
      </c>
      <c r="L198" s="6" t="n">
        <v>4</v>
      </c>
      <c r="M198" s="6" t="n">
        <v>5</v>
      </c>
      <c r="N198" s="6" t="inlineStr">
        <is>
          <t>SUCCEEDED</t>
        </is>
      </c>
      <c r="O198" s="7" t="n">
        <v>156.015</v>
      </c>
      <c r="P198" s="7" t="n">
        <v>153.4705741405487</v>
      </c>
      <c r="Q198" s="7" t="n">
        <v>92.36555504798889</v>
      </c>
      <c r="R198" s="7" t="n">
        <v>93.12001538276672</v>
      </c>
      <c r="S198" s="8">
        <f>IF(N198="SUCCEEDED",P198/Q198,"")</f>
        <v/>
      </c>
      <c r="T198" s="8">
        <f>IF(N198="SUCCEEDED",P198/R198,"")</f>
        <v/>
      </c>
      <c r="U198" s="9">
        <f>IF(N198="SUCCEEDED",IF(D198="B0",O198-P198,O198-Q198),"")</f>
        <v/>
      </c>
      <c r="V198" s="7" t="n">
        <v>0.4718358516693115</v>
      </c>
      <c r="W198" s="6" t="n">
        <v>0</v>
      </c>
      <c r="X198" s="7" t="n">
        <v>0</v>
      </c>
      <c r="Y198" s="6" t="n">
        <v>9</v>
      </c>
      <c r="Z198" s="6" t="n">
        <v>0</v>
      </c>
      <c r="AA198" s="6" t="n">
        <v>0</v>
      </c>
      <c r="AB198" s="6" t="n">
        <v>0</v>
      </c>
      <c r="AC198" s="10" t="n">
        <v>3723</v>
      </c>
      <c r="AD198" s="10" t="n">
        <v>9627</v>
      </c>
      <c r="AE198" s="10" t="n">
        <v>9330</v>
      </c>
      <c r="AF198" s="11" t="n">
        <v>0.14129325</v>
      </c>
      <c r="AG198" s="11" t="n">
        <v>0.0010348518319</v>
      </c>
      <c r="AH198" s="11" t="n">
        <v>0.000225</v>
      </c>
      <c r="AI198" s="12">
        <f>AF198+AG198+AH198</f>
        <v/>
      </c>
      <c r="AJ198" s="6" t="n">
        <v>0</v>
      </c>
      <c r="AK198" s="6" t="inlineStr"/>
    </row>
    <row r="199">
      <c r="A199" s="5" t="n">
        <v>2</v>
      </c>
      <c r="B199" s="5" t="n">
        <v>49</v>
      </c>
      <c r="C199" s="5" t="inlineStr">
        <is>
          <t>med2_1</t>
        </is>
      </c>
      <c r="D199" s="5" t="inlineStr">
        <is>
          <t>A1</t>
        </is>
      </c>
      <c r="E199" s="5" t="inlineStr">
        <is>
          <t>2nd</t>
        </is>
      </c>
      <c r="F199" s="5" t="inlineStr">
        <is>
          <t>med2</t>
        </is>
      </c>
      <c r="G199" s="5" t="inlineStr">
        <is>
          <t>medium</t>
        </is>
      </c>
      <c r="H199" s="6" t="n">
        <v>0</v>
      </c>
      <c r="I199" s="6" t="n">
        <v>0</v>
      </c>
      <c r="J199" s="6" t="n">
        <v>0</v>
      </c>
      <c r="K199" s="6" t="n">
        <v>9</v>
      </c>
      <c r="L199" s="6" t="n">
        <v>4</v>
      </c>
      <c r="M199" s="6" t="n">
        <v>5</v>
      </c>
      <c r="N199" s="6" t="inlineStr">
        <is>
          <t>SUCCEEDED</t>
        </is>
      </c>
      <c r="O199" s="7" t="n">
        <v>126.648</v>
      </c>
      <c r="P199" s="7" t="n">
        <v>199.9631993770599</v>
      </c>
      <c r="Q199" s="7" t="n">
        <v>125.7731492519379</v>
      </c>
      <c r="R199" s="7" t="n">
        <v>125.7731492519379</v>
      </c>
      <c r="S199" s="8">
        <f>IF(N199="SUCCEEDED",P199/Q199,"")</f>
        <v/>
      </c>
      <c r="T199" s="8">
        <f>IF(N199="SUCCEEDED",P199/R199,"")</f>
        <v/>
      </c>
      <c r="U199" s="9">
        <f>IF(N199="SUCCEEDED",IF(D199="B0",O199-P199,O199-Q199),"")</f>
        <v/>
      </c>
      <c r="V199" s="7" t="n">
        <v>192.5274322032928</v>
      </c>
      <c r="W199" s="6" t="n">
        <v>0</v>
      </c>
      <c r="X199" s="7" t="n">
        <v>0</v>
      </c>
      <c r="Y199" s="6" t="n">
        <v>9</v>
      </c>
      <c r="Z199" s="6" t="n">
        <v>0</v>
      </c>
      <c r="AA199" s="6" t="n">
        <v>0</v>
      </c>
      <c r="AB199" s="6" t="n">
        <v>0</v>
      </c>
      <c r="AC199" s="10" t="n">
        <v>3733</v>
      </c>
      <c r="AD199" s="10" t="n">
        <v>11505</v>
      </c>
      <c r="AE199" s="10" t="n">
        <v>11198</v>
      </c>
      <c r="AF199" s="11" t="n">
        <v>0.16760275</v>
      </c>
      <c r="AG199" s="11" t="n">
        <v>0.0026253931179</v>
      </c>
      <c r="AH199" s="11" t="n">
        <v>0.00025</v>
      </c>
      <c r="AI199" s="12">
        <f>AF199+AG199+AH199</f>
        <v/>
      </c>
      <c r="AJ199" s="6" t="n">
        <v>0</v>
      </c>
      <c r="AK199" s="6" t="inlineStr"/>
    </row>
    <row r="200">
      <c r="A200" s="5" t="n">
        <v>2</v>
      </c>
      <c r="B200" s="5" t="n">
        <v>50</v>
      </c>
      <c r="C200" s="5" t="inlineStr">
        <is>
          <t>med1_15</t>
        </is>
      </c>
      <c r="D200" s="5" t="inlineStr">
        <is>
          <t>A1</t>
        </is>
      </c>
      <c r="E200" s="5" t="inlineStr">
        <is>
          <t>1st</t>
        </is>
      </c>
      <c r="F200" s="5" t="inlineStr">
        <is>
          <t>med1</t>
        </is>
      </c>
      <c r="G200" s="5" t="inlineStr">
        <is>
          <t>medium</t>
        </is>
      </c>
      <c r="H200" s="6" t="n">
        <v>0</v>
      </c>
      <c r="I200" s="6" t="n">
        <v>0</v>
      </c>
      <c r="J200" s="6" t="n">
        <v>0</v>
      </c>
      <c r="K200" s="6" t="n">
        <v>9</v>
      </c>
      <c r="L200" s="6" t="n">
        <v>4</v>
      </c>
      <c r="M200" s="6" t="n">
        <v>5</v>
      </c>
      <c r="N200" s="6" t="inlineStr">
        <is>
          <t>SUCCEEDED</t>
        </is>
      </c>
      <c r="O200" s="7" t="n">
        <v>202.809</v>
      </c>
      <c r="P200" s="7" t="n">
        <v>297.9630694389343</v>
      </c>
      <c r="Q200" s="7" t="n">
        <v>202.0793118476868</v>
      </c>
      <c r="R200" s="7" t="n">
        <v>217.3023247718811</v>
      </c>
      <c r="S200" s="8">
        <f>IF(N200="SUCCEEDED",P200/Q200,"")</f>
        <v/>
      </c>
      <c r="T200" s="8">
        <f>IF(N200="SUCCEEDED",P200/R200,"")</f>
        <v/>
      </c>
      <c r="U200" s="9">
        <f>IF(N200="SUCCEEDED",IF(D200="B0",O200-P200,O200-Q200),"")</f>
        <v/>
      </c>
      <c r="V200" s="7" t="n">
        <v>247.4165618419647</v>
      </c>
      <c r="W200" s="6" t="n">
        <v>0</v>
      </c>
      <c r="X200" s="7" t="n">
        <v>0</v>
      </c>
      <c r="Y200" s="6" t="n">
        <v>9</v>
      </c>
      <c r="Z200" s="6" t="n">
        <v>0</v>
      </c>
      <c r="AA200" s="6" t="n">
        <v>0</v>
      </c>
      <c r="AB200" s="6" t="n">
        <v>0</v>
      </c>
      <c r="AC200" s="10" t="n">
        <v>3854</v>
      </c>
      <c r="AD200" s="10" t="n">
        <v>20459</v>
      </c>
      <c r="AE200" s="10" t="n">
        <v>20138</v>
      </c>
      <c r="AF200" s="11" t="n">
        <v>0.2931705</v>
      </c>
      <c r="AG200" s="11" t="n">
        <v>0.0036445448803</v>
      </c>
      <c r="AH200" s="11" t="n">
        <v>0.00025</v>
      </c>
      <c r="AI200" s="12">
        <f>AF200+AG200+AH200</f>
        <v/>
      </c>
      <c r="AJ200" s="6" t="n">
        <v>0</v>
      </c>
      <c r="AK200" s="6" t="inlineStr"/>
    </row>
    <row r="201">
      <c r="A201" s="5" t="n">
        <v>2</v>
      </c>
      <c r="B201" s="5" t="n">
        <v>50</v>
      </c>
      <c r="C201" s="5" t="inlineStr">
        <is>
          <t>med1_15</t>
        </is>
      </c>
      <c r="D201" s="5" t="inlineStr">
        <is>
          <t>B0</t>
        </is>
      </c>
      <c r="E201" s="5" t="inlineStr">
        <is>
          <t>2nd</t>
        </is>
      </c>
      <c r="F201" s="5" t="inlineStr">
        <is>
          <t>med1</t>
        </is>
      </c>
      <c r="G201" s="5" t="inlineStr">
        <is>
          <t>medium</t>
        </is>
      </c>
      <c r="H201" s="6" t="n">
        <v>0</v>
      </c>
      <c r="I201" s="6" t="n">
        <v>0</v>
      </c>
      <c r="J201" s="6" t="n">
        <v>0</v>
      </c>
      <c r="K201" s="6" t="n">
        <v>9</v>
      </c>
      <c r="L201" s="6" t="n">
        <v>4</v>
      </c>
      <c r="M201" s="6" t="n">
        <v>5</v>
      </c>
      <c r="N201" s="6" t="inlineStr">
        <is>
          <t>SUCCEEDED</t>
        </is>
      </c>
      <c r="O201" s="7" t="n">
        <v>189.471</v>
      </c>
      <c r="P201" s="7" t="n">
        <v>187.0204842090607</v>
      </c>
      <c r="Q201" s="7" t="n">
        <v>112.9662425518036</v>
      </c>
      <c r="R201" s="7" t="n">
        <v>130.034161567688</v>
      </c>
      <c r="S201" s="8">
        <f>IF(N201="SUCCEEDED",P201/Q201,"")</f>
        <v/>
      </c>
      <c r="T201" s="8">
        <f>IF(N201="SUCCEEDED",P201/R201,"")</f>
        <v/>
      </c>
      <c r="U201" s="9">
        <f>IF(N201="SUCCEEDED",IF(D201="B0",O201-P201,O201-Q201),"")</f>
        <v/>
      </c>
      <c r="V201" s="7" t="n">
        <v>0.4504499435424805</v>
      </c>
      <c r="W201" s="6" t="n">
        <v>0</v>
      </c>
      <c r="X201" s="7" t="n">
        <v>0</v>
      </c>
      <c r="Y201" s="6" t="n">
        <v>9</v>
      </c>
      <c r="Z201" s="6" t="n">
        <v>0</v>
      </c>
      <c r="AA201" s="6" t="n">
        <v>0</v>
      </c>
      <c r="AB201" s="6" t="n">
        <v>0</v>
      </c>
      <c r="AC201" s="10" t="n">
        <v>3864</v>
      </c>
      <c r="AD201" s="10" t="n">
        <v>13017</v>
      </c>
      <c r="AE201" s="10" t="n">
        <v>12695</v>
      </c>
      <c r="AF201" s="11" t="n">
        <v>0.189</v>
      </c>
      <c r="AG201" s="11" t="n">
        <v>0.0012579662808</v>
      </c>
      <c r="AH201" s="11" t="n">
        <v>0.000225</v>
      </c>
      <c r="AI201" s="12">
        <f>AF201+AG201+AH201</f>
        <v/>
      </c>
      <c r="AJ201" s="6" t="n">
        <v>0</v>
      </c>
      <c r="AK201" s="6" t="inlineStr"/>
    </row>
    <row r="202">
      <c r="C202" s="13" t="inlineStr">
        <is>
          <t>Totals / counts (both arms)</t>
        </is>
      </c>
      <c r="V202" s="14">
        <f>SUM(V2:V201)</f>
        <v/>
      </c>
      <c r="W202" s="13">
        <f>SUM(W2:W201)</f>
        <v/>
      </c>
      <c r="Y202" s="13">
        <f>SUM(Y2:Y201)</f>
        <v/>
      </c>
      <c r="Z202" s="13">
        <f>SUM(Z2:Z201)</f>
        <v/>
      </c>
      <c r="AA202" s="13">
        <f>SUM(AA2:AA201)</f>
        <v/>
      </c>
      <c r="AB202" s="13">
        <f>SUM(AB2:AB201)</f>
        <v/>
      </c>
      <c r="AC202" s="15">
        <f>SUM(AC2:AC201)</f>
        <v/>
      </c>
      <c r="AD202" s="15">
        <f>SUM(AD2:AD201)</f>
        <v/>
      </c>
      <c r="AE202" s="15">
        <f>SUM(AE2:AE201)</f>
        <v/>
      </c>
      <c r="AF202" s="16">
        <f>SUM(AF2:AF201)</f>
        <v/>
      </c>
      <c r="AG202" s="16">
        <f>SUM(AG2:AG201)</f>
        <v/>
      </c>
      <c r="AH202" s="16">
        <f>SUM(AH2:AH201)</f>
        <v/>
      </c>
      <c r="AI202" s="16">
        <f>SUM(AI2:AI201)</f>
        <v/>
      </c>
      <c r="AJ202" s="13">
        <f>SUM(AJ2:AJ201)</f>
        <v/>
      </c>
    </row>
    <row r="204">
      <c r="C204" s="5" t="inlineStr">
        <is>
          <t>Blue = from rows.jsonl / grades.json / raw REPORT lines (via cohort100_ab_analyze.build_items); black = formula. Rows ordered by batch, run position, then the order the arms ran. Replay and overhead are blank for a failed arm (its node durations are incomplete).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4" customWidth="1" min="3" max="3"/>
    <col width="9" customWidth="1" min="4" max="4"/>
    <col width="8" customWidth="1" min="5" max="5"/>
    <col width="11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45" customHeight="1">
      <c r="A1" s="4" t="inlineStr">
        <is>
          <t>Batch</t>
        </is>
      </c>
      <c r="B1" s="4" t="inlineStr">
        <is>
          <t>Pos</t>
        </is>
      </c>
      <c r="C1" s="4" t="inlineStr">
        <is>
          <t>Task</t>
        </is>
      </c>
      <c r="D1" s="4" t="inlineStr">
        <is>
          <t>Template</t>
        </is>
      </c>
      <c r="E1" s="4" t="inlineStr">
        <is>
          <t>First arm</t>
        </is>
      </c>
      <c r="F1" s="4" t="inlineStr">
        <is>
          <t>Status B0</t>
        </is>
      </c>
      <c r="G1" s="4" t="inlineStr">
        <is>
          <t>Status A1</t>
        </is>
      </c>
      <c r="H1" s="4" t="inlineStr">
        <is>
          <t>Both succeeded</t>
        </is>
      </c>
      <c r="I1" s="4" t="inlineStr">
        <is>
          <t>T_exec B0 (s)</t>
        </is>
      </c>
      <c r="J1" s="4" t="inlineStr">
        <is>
          <t>T_exec A1 (s)</t>
        </is>
      </c>
      <c r="K1" s="4" t="inlineStr">
        <is>
          <t>Speedup B0/A1</t>
        </is>
      </c>
      <c r="L1" s="4" t="inlineStr">
        <is>
          <t>ln speedup</t>
        </is>
      </c>
      <c r="M1" s="4" t="inlineStr">
        <is>
          <t>Latency reduction</t>
        </is>
      </c>
      <c r="N1" s="4" t="inlineStr">
        <is>
          <t>Cold-adjusted speedup</t>
        </is>
      </c>
      <c r="O1" s="4" t="inlineStr">
        <is>
          <t>T_dec (s)</t>
        </is>
      </c>
      <c r="P1" s="4" t="inlineStr">
        <is>
          <t>DAG exact</t>
        </is>
      </c>
      <c r="Q1" s="4" t="inlineStr">
        <is>
          <t>Speedup incl. T_dec</t>
        </is>
      </c>
      <c r="R1" s="4" t="inlineStr">
        <is>
          <t>ln speedup incl. T_dec</t>
        </is>
      </c>
      <c r="S1" s="4" t="inlineStr">
        <is>
          <t>C_Total B0 ($)</t>
        </is>
      </c>
      <c r="T1" s="4" t="inlineStr">
        <is>
          <t>C_Total A1 ($)</t>
        </is>
      </c>
      <c r="U1" s="4" t="inlineStr">
        <is>
          <t>C_Total A1/B0</t>
        </is>
      </c>
      <c r="V1" s="4" t="inlineStr">
        <is>
          <t>Correct B0</t>
        </is>
      </c>
      <c r="W1" s="4" t="inlineStr">
        <is>
          <t>Correct A1</t>
        </is>
      </c>
      <c r="X1" s="4" t="inlineStr">
        <is>
          <t>Arms disagree</t>
        </is>
      </c>
    </row>
    <row r="2">
      <c r="A2" s="5" t="n">
        <v>1</v>
      </c>
      <c r="B2" s="5" t="n">
        <v>1</v>
      </c>
      <c r="C2" s="5" t="inlineStr">
        <is>
          <t>easy1_49</t>
        </is>
      </c>
      <c r="D2" s="5" t="inlineStr">
        <is>
          <t>easy1</t>
        </is>
      </c>
      <c r="E2" s="5" t="inlineStr">
        <is>
          <t>B0</t>
        </is>
      </c>
      <c r="F2" s="5" t="inlineStr">
        <is>
          <t>SUCCEEDED</t>
        </is>
      </c>
      <c r="G2" s="5" t="inlineStr">
        <is>
          <t>SUCCEEDED</t>
        </is>
      </c>
      <c r="H2" s="5">
        <f>IF(AND(F2="SUCCEEDED",G2="SUCCEEDED"),1,0)</f>
        <v/>
      </c>
      <c r="I2" s="17">
        <f>SUMIFS('Arm results'!$O$2:$O$201,'Arm results'!$C$2:$C$201,$C2,'Arm results'!$D$2:$D$201,"B0")</f>
        <v/>
      </c>
      <c r="J2" s="17">
        <f>SUMIFS('Arm results'!$O$2:$O$201,'Arm results'!$C$2:$C$201,$C2,'Arm results'!$D$2:$D$201,"A1")</f>
        <v/>
      </c>
      <c r="K2" s="8">
        <f>IF(H2=1,I2/J2,"")</f>
        <v/>
      </c>
      <c r="L2" s="18">
        <f>IF(H2=1,LN(K2),"")</f>
        <v/>
      </c>
      <c r="M2" s="19">
        <f>IF(H2=1,(I2-J2)/I2,"")</f>
        <v/>
      </c>
      <c r="N2" s="20">
        <f>IF(H2=1,(I2-SUMIFS('Arm results'!$X$2:$X$201,'Arm results'!$C$2:$C$201,$C2,'Arm results'!$D$2:$D$201,"B0"))/(J2-SUMIFS('Arm results'!$X$2:$X$201,'Arm results'!$C$2:$C$201,$C2,'Arm results'!$D$2:$D$201,"A1")),"")</f>
        <v/>
      </c>
      <c r="O2" s="21" t="n">
        <v>1.47681330004707</v>
      </c>
      <c r="P2" s="6" t="n">
        <v>1</v>
      </c>
      <c r="Q2" s="8">
        <f>IF(H2=1,(I2+O2)/(J2+O2),"")</f>
        <v/>
      </c>
      <c r="R2" s="18">
        <f>IF(H2=1,LN(Q2),"")</f>
        <v/>
      </c>
      <c r="S2" s="22">
        <f>SUMIFS('Arm results'!$AI$2:$AI$201,'Arm results'!$C$2:$C$201,$C2,'Arm results'!$D$2:$D$201,"B0")</f>
        <v/>
      </c>
      <c r="T2" s="22">
        <f>SUMIFS('Arm results'!$AI$2:$AI$201,'Arm results'!$C$2:$C$201,$C2,'Arm results'!$D$2:$D$201,"A1")</f>
        <v/>
      </c>
      <c r="U2" s="8">
        <f>IF(H2=1,T2/S2,"")</f>
        <v/>
      </c>
      <c r="V2" s="23">
        <f>SUMIFS('Arm results'!$AJ$2:$AJ$201,'Arm results'!$C$2:$C$201,$C2,'Arm results'!$D$2:$D$201,"B0")</f>
        <v/>
      </c>
      <c r="W2" s="23">
        <f>SUMIFS('Arm results'!$AJ$2:$AJ$201,'Arm results'!$C$2:$C$201,$C2,'Arm results'!$D$2:$D$201,"A1")</f>
        <v/>
      </c>
      <c r="X2" s="5">
        <f>IF(V2&lt;&gt;W2,1,0)</f>
        <v/>
      </c>
    </row>
    <row r="3">
      <c r="A3" s="5" t="n">
        <v>1</v>
      </c>
      <c r="B3" s="5" t="n">
        <v>2</v>
      </c>
      <c r="C3" s="5" t="inlineStr">
        <is>
          <t>med1_37</t>
        </is>
      </c>
      <c r="D3" s="5" t="inlineStr">
        <is>
          <t>med1</t>
        </is>
      </c>
      <c r="E3" s="5" t="inlineStr">
        <is>
          <t>A1</t>
        </is>
      </c>
      <c r="F3" s="5" t="inlineStr">
        <is>
          <t>SUCCEEDED</t>
        </is>
      </c>
      <c r="G3" s="5" t="inlineStr">
        <is>
          <t>SUCCEEDED</t>
        </is>
      </c>
      <c r="H3" s="5">
        <f>IF(AND(F3="SUCCEEDED",G3="SUCCEEDED"),1,0)</f>
        <v/>
      </c>
      <c r="I3" s="17">
        <f>SUMIFS('Arm results'!$O$2:$O$201,'Arm results'!$C$2:$C$201,$C3,'Arm results'!$D$2:$D$201,"B0")</f>
        <v/>
      </c>
      <c r="J3" s="17">
        <f>SUMIFS('Arm results'!$O$2:$O$201,'Arm results'!$C$2:$C$201,$C3,'Arm results'!$D$2:$D$201,"A1")</f>
        <v/>
      </c>
      <c r="K3" s="8">
        <f>IF(H3=1,I3/J3,"")</f>
        <v/>
      </c>
      <c r="L3" s="18">
        <f>IF(H3=1,LN(K3),"")</f>
        <v/>
      </c>
      <c r="M3" s="19">
        <f>IF(H3=1,(I3-J3)/I3,"")</f>
        <v/>
      </c>
      <c r="N3" s="20">
        <f>IF(H3=1,(I3-SUMIFS('Arm results'!$X$2:$X$201,'Arm results'!$C$2:$C$201,$C3,'Arm results'!$D$2:$D$201,"B0"))/(J3-SUMIFS('Arm results'!$X$2:$X$201,'Arm results'!$C$2:$C$201,$C3,'Arm results'!$D$2:$D$201,"A1")),"")</f>
        <v/>
      </c>
      <c r="O3" s="21" t="n">
        <v>2.198524800012819</v>
      </c>
      <c r="P3" s="6" t="n">
        <v>1</v>
      </c>
      <c r="Q3" s="8">
        <f>IF(H3=1,(I3+O3)/(J3+O3),"")</f>
        <v/>
      </c>
      <c r="R3" s="18">
        <f>IF(H3=1,LN(Q3),"")</f>
        <v/>
      </c>
      <c r="S3" s="22">
        <f>SUMIFS('Arm results'!$AI$2:$AI$201,'Arm results'!$C$2:$C$201,$C3,'Arm results'!$D$2:$D$201,"B0")</f>
        <v/>
      </c>
      <c r="T3" s="22">
        <f>SUMIFS('Arm results'!$AI$2:$AI$201,'Arm results'!$C$2:$C$201,$C3,'Arm results'!$D$2:$D$201,"A1")</f>
        <v/>
      </c>
      <c r="U3" s="8">
        <f>IF(H3=1,T3/S3,"")</f>
        <v/>
      </c>
      <c r="V3" s="23">
        <f>SUMIFS('Arm results'!$AJ$2:$AJ$201,'Arm results'!$C$2:$C$201,$C3,'Arm results'!$D$2:$D$201,"B0")</f>
        <v/>
      </c>
      <c r="W3" s="23">
        <f>SUMIFS('Arm results'!$AJ$2:$AJ$201,'Arm results'!$C$2:$C$201,$C3,'Arm results'!$D$2:$D$201,"A1")</f>
        <v/>
      </c>
      <c r="X3" s="5">
        <f>IF(V3&lt;&gt;W3,1,0)</f>
        <v/>
      </c>
    </row>
    <row r="4">
      <c r="A4" s="5" t="n">
        <v>1</v>
      </c>
      <c r="B4" s="5" t="n">
        <v>3</v>
      </c>
      <c r="C4" s="5" t="inlineStr">
        <is>
          <t>easy1_12</t>
        </is>
      </c>
      <c r="D4" s="5" t="inlineStr">
        <is>
          <t>easy1</t>
        </is>
      </c>
      <c r="E4" s="5" t="inlineStr">
        <is>
          <t>B0</t>
        </is>
      </c>
      <c r="F4" s="5" t="inlineStr">
        <is>
          <t>SUCCEEDED</t>
        </is>
      </c>
      <c r="G4" s="5" t="inlineStr">
        <is>
          <t>SUCCEEDED</t>
        </is>
      </c>
      <c r="H4" s="5">
        <f>IF(AND(F4="SUCCEEDED",G4="SUCCEEDED"),1,0)</f>
        <v/>
      </c>
      <c r="I4" s="17">
        <f>SUMIFS('Arm results'!$O$2:$O$201,'Arm results'!$C$2:$C$201,$C4,'Arm results'!$D$2:$D$201,"B0")</f>
        <v/>
      </c>
      <c r="J4" s="17">
        <f>SUMIFS('Arm results'!$O$2:$O$201,'Arm results'!$C$2:$C$201,$C4,'Arm results'!$D$2:$D$201,"A1")</f>
        <v/>
      </c>
      <c r="K4" s="8">
        <f>IF(H4=1,I4/J4,"")</f>
        <v/>
      </c>
      <c r="L4" s="18">
        <f>IF(H4=1,LN(K4),"")</f>
        <v/>
      </c>
      <c r="M4" s="19">
        <f>IF(H4=1,(I4-J4)/I4,"")</f>
        <v/>
      </c>
      <c r="N4" s="20">
        <f>IF(H4=1,(I4-SUMIFS('Arm results'!$X$2:$X$201,'Arm results'!$C$2:$C$201,$C4,'Arm results'!$D$2:$D$201,"B0"))/(J4-SUMIFS('Arm results'!$X$2:$X$201,'Arm results'!$C$2:$C$201,$C4,'Arm results'!$D$2:$D$201,"A1")),"")</f>
        <v/>
      </c>
      <c r="O4" s="21" t="n">
        <v>2.097625900001731</v>
      </c>
      <c r="P4" s="6" t="n">
        <v>1</v>
      </c>
      <c r="Q4" s="8">
        <f>IF(H4=1,(I4+O4)/(J4+O4),"")</f>
        <v/>
      </c>
      <c r="R4" s="18">
        <f>IF(H4=1,LN(Q4),"")</f>
        <v/>
      </c>
      <c r="S4" s="22">
        <f>SUMIFS('Arm results'!$AI$2:$AI$201,'Arm results'!$C$2:$C$201,$C4,'Arm results'!$D$2:$D$201,"B0")</f>
        <v/>
      </c>
      <c r="T4" s="22">
        <f>SUMIFS('Arm results'!$AI$2:$AI$201,'Arm results'!$C$2:$C$201,$C4,'Arm results'!$D$2:$D$201,"A1")</f>
        <v/>
      </c>
      <c r="U4" s="8">
        <f>IF(H4=1,T4/S4,"")</f>
        <v/>
      </c>
      <c r="V4" s="23">
        <f>SUMIFS('Arm results'!$AJ$2:$AJ$201,'Arm results'!$C$2:$C$201,$C4,'Arm results'!$D$2:$D$201,"B0")</f>
        <v/>
      </c>
      <c r="W4" s="23">
        <f>SUMIFS('Arm results'!$AJ$2:$AJ$201,'Arm results'!$C$2:$C$201,$C4,'Arm results'!$D$2:$D$201,"A1")</f>
        <v/>
      </c>
      <c r="X4" s="5">
        <f>IF(V4&lt;&gt;W4,1,0)</f>
        <v/>
      </c>
    </row>
    <row r="5">
      <c r="A5" s="5" t="n">
        <v>1</v>
      </c>
      <c r="B5" s="5" t="n">
        <v>4</v>
      </c>
      <c r="C5" s="5" t="inlineStr">
        <is>
          <t>easy2_26</t>
        </is>
      </c>
      <c r="D5" s="5" t="inlineStr">
        <is>
          <t>easy2</t>
        </is>
      </c>
      <c r="E5" s="5" t="inlineStr">
        <is>
          <t>A1</t>
        </is>
      </c>
      <c r="F5" s="5" t="inlineStr">
        <is>
          <t>SUCCEEDED</t>
        </is>
      </c>
      <c r="G5" s="5" t="inlineStr">
        <is>
          <t>SUCCEEDED</t>
        </is>
      </c>
      <c r="H5" s="5">
        <f>IF(AND(F5="SUCCEEDED",G5="SUCCEEDED"),1,0)</f>
        <v/>
      </c>
      <c r="I5" s="17">
        <f>SUMIFS('Arm results'!$O$2:$O$201,'Arm results'!$C$2:$C$201,$C5,'Arm results'!$D$2:$D$201,"B0")</f>
        <v/>
      </c>
      <c r="J5" s="17">
        <f>SUMIFS('Arm results'!$O$2:$O$201,'Arm results'!$C$2:$C$201,$C5,'Arm results'!$D$2:$D$201,"A1")</f>
        <v/>
      </c>
      <c r="K5" s="8">
        <f>IF(H5=1,I5/J5,"")</f>
        <v/>
      </c>
      <c r="L5" s="18">
        <f>IF(H5=1,LN(K5),"")</f>
        <v/>
      </c>
      <c r="M5" s="19">
        <f>IF(H5=1,(I5-J5)/I5,"")</f>
        <v/>
      </c>
      <c r="N5" s="20">
        <f>IF(H5=1,(I5-SUMIFS('Arm results'!$X$2:$X$201,'Arm results'!$C$2:$C$201,$C5,'Arm results'!$D$2:$D$201,"B0"))/(J5-SUMIFS('Arm results'!$X$2:$X$201,'Arm results'!$C$2:$C$201,$C5,'Arm results'!$D$2:$D$201,"A1")),"")</f>
        <v/>
      </c>
      <c r="O5" s="21" t="n">
        <v>2.376571900036652</v>
      </c>
      <c r="P5" s="6" t="n">
        <v>1</v>
      </c>
      <c r="Q5" s="8">
        <f>IF(H5=1,(I5+O5)/(J5+O5),"")</f>
        <v/>
      </c>
      <c r="R5" s="18">
        <f>IF(H5=1,LN(Q5),"")</f>
        <v/>
      </c>
      <c r="S5" s="22">
        <f>SUMIFS('Arm results'!$AI$2:$AI$201,'Arm results'!$C$2:$C$201,$C5,'Arm results'!$D$2:$D$201,"B0")</f>
        <v/>
      </c>
      <c r="T5" s="22">
        <f>SUMIFS('Arm results'!$AI$2:$AI$201,'Arm results'!$C$2:$C$201,$C5,'Arm results'!$D$2:$D$201,"A1")</f>
        <v/>
      </c>
      <c r="U5" s="8">
        <f>IF(H5=1,T5/S5,"")</f>
        <v/>
      </c>
      <c r="V5" s="23">
        <f>SUMIFS('Arm results'!$AJ$2:$AJ$201,'Arm results'!$C$2:$C$201,$C5,'Arm results'!$D$2:$D$201,"B0")</f>
        <v/>
      </c>
      <c r="W5" s="23">
        <f>SUMIFS('Arm results'!$AJ$2:$AJ$201,'Arm results'!$C$2:$C$201,$C5,'Arm results'!$D$2:$D$201,"A1")</f>
        <v/>
      </c>
      <c r="X5" s="5">
        <f>IF(V5&lt;&gt;W5,1,0)</f>
        <v/>
      </c>
    </row>
    <row r="6">
      <c r="A6" s="5" t="n">
        <v>1</v>
      </c>
      <c r="B6" s="5" t="n">
        <v>5</v>
      </c>
      <c r="C6" s="5" t="inlineStr">
        <is>
          <t>hard1_11</t>
        </is>
      </c>
      <c r="D6" s="5" t="inlineStr">
        <is>
          <t>hard1</t>
        </is>
      </c>
      <c r="E6" s="5" t="inlineStr">
        <is>
          <t>B0</t>
        </is>
      </c>
      <c r="F6" s="5" t="inlineStr">
        <is>
          <t>SUCCEEDED</t>
        </is>
      </c>
      <c r="G6" s="5" t="inlineStr">
        <is>
          <t>SUCCEEDED</t>
        </is>
      </c>
      <c r="H6" s="5">
        <f>IF(AND(F6="SUCCEEDED",G6="SUCCEEDED"),1,0)</f>
        <v/>
      </c>
      <c r="I6" s="17">
        <f>SUMIFS('Arm results'!$O$2:$O$201,'Arm results'!$C$2:$C$201,$C6,'Arm results'!$D$2:$D$201,"B0")</f>
        <v/>
      </c>
      <c r="J6" s="17">
        <f>SUMIFS('Arm results'!$O$2:$O$201,'Arm results'!$C$2:$C$201,$C6,'Arm results'!$D$2:$D$201,"A1")</f>
        <v/>
      </c>
      <c r="K6" s="8">
        <f>IF(H6=1,I6/J6,"")</f>
        <v/>
      </c>
      <c r="L6" s="18">
        <f>IF(H6=1,LN(K6),"")</f>
        <v/>
      </c>
      <c r="M6" s="19">
        <f>IF(H6=1,(I6-J6)/I6,"")</f>
        <v/>
      </c>
      <c r="N6" s="20">
        <f>IF(H6=1,(I6-SUMIFS('Arm results'!$X$2:$X$201,'Arm results'!$C$2:$C$201,$C6,'Arm results'!$D$2:$D$201,"B0"))/(J6-SUMIFS('Arm results'!$X$2:$X$201,'Arm results'!$C$2:$C$201,$C6,'Arm results'!$D$2:$D$201,"A1")),"")</f>
        <v/>
      </c>
      <c r="O6" s="21" t="n">
        <v>3.121549199975561</v>
      </c>
      <c r="P6" s="6" t="n">
        <v>1</v>
      </c>
      <c r="Q6" s="8">
        <f>IF(H6=1,(I6+O6)/(J6+O6),"")</f>
        <v/>
      </c>
      <c r="R6" s="18">
        <f>IF(H6=1,LN(Q6),"")</f>
        <v/>
      </c>
      <c r="S6" s="22">
        <f>SUMIFS('Arm results'!$AI$2:$AI$201,'Arm results'!$C$2:$C$201,$C6,'Arm results'!$D$2:$D$201,"B0")</f>
        <v/>
      </c>
      <c r="T6" s="22">
        <f>SUMIFS('Arm results'!$AI$2:$AI$201,'Arm results'!$C$2:$C$201,$C6,'Arm results'!$D$2:$D$201,"A1")</f>
        <v/>
      </c>
      <c r="U6" s="8">
        <f>IF(H6=1,T6/S6,"")</f>
        <v/>
      </c>
      <c r="V6" s="23">
        <f>SUMIFS('Arm results'!$AJ$2:$AJ$201,'Arm results'!$C$2:$C$201,$C6,'Arm results'!$D$2:$D$201,"B0")</f>
        <v/>
      </c>
      <c r="W6" s="23">
        <f>SUMIFS('Arm results'!$AJ$2:$AJ$201,'Arm results'!$C$2:$C$201,$C6,'Arm results'!$D$2:$D$201,"A1")</f>
        <v/>
      </c>
      <c r="X6" s="5">
        <f>IF(V6&lt;&gt;W6,1,0)</f>
        <v/>
      </c>
    </row>
    <row r="7">
      <c r="A7" s="5" t="n">
        <v>1</v>
      </c>
      <c r="B7" s="5" t="n">
        <v>6</v>
      </c>
      <c r="C7" s="5" t="inlineStr">
        <is>
          <t>easy1_11</t>
        </is>
      </c>
      <c r="D7" s="5" t="inlineStr">
        <is>
          <t>easy1</t>
        </is>
      </c>
      <c r="E7" s="5" t="inlineStr">
        <is>
          <t>A1</t>
        </is>
      </c>
      <c r="F7" s="5" t="inlineStr">
        <is>
          <t>SUCCEEDED</t>
        </is>
      </c>
      <c r="G7" s="5" t="inlineStr">
        <is>
          <t>SUCCEEDED</t>
        </is>
      </c>
      <c r="H7" s="5">
        <f>IF(AND(F7="SUCCEEDED",G7="SUCCEEDED"),1,0)</f>
        <v/>
      </c>
      <c r="I7" s="17">
        <f>SUMIFS('Arm results'!$O$2:$O$201,'Arm results'!$C$2:$C$201,$C7,'Arm results'!$D$2:$D$201,"B0")</f>
        <v/>
      </c>
      <c r="J7" s="17">
        <f>SUMIFS('Arm results'!$O$2:$O$201,'Arm results'!$C$2:$C$201,$C7,'Arm results'!$D$2:$D$201,"A1")</f>
        <v/>
      </c>
      <c r="K7" s="8">
        <f>IF(H7=1,I7/J7,"")</f>
        <v/>
      </c>
      <c r="L7" s="18">
        <f>IF(H7=1,LN(K7),"")</f>
        <v/>
      </c>
      <c r="M7" s="19">
        <f>IF(H7=1,(I7-J7)/I7,"")</f>
        <v/>
      </c>
      <c r="N7" s="20">
        <f>IF(H7=1,(I7-SUMIFS('Arm results'!$X$2:$X$201,'Arm results'!$C$2:$C$201,$C7,'Arm results'!$D$2:$D$201,"B0"))/(J7-SUMIFS('Arm results'!$X$2:$X$201,'Arm results'!$C$2:$C$201,$C7,'Arm results'!$D$2:$D$201,"A1")),"")</f>
        <v/>
      </c>
      <c r="O7" s="21" t="n">
        <v>2.292815399996471</v>
      </c>
      <c r="P7" s="6" t="n">
        <v>1</v>
      </c>
      <c r="Q7" s="8">
        <f>IF(H7=1,(I7+O7)/(J7+O7),"")</f>
        <v/>
      </c>
      <c r="R7" s="18">
        <f>IF(H7=1,LN(Q7),"")</f>
        <v/>
      </c>
      <c r="S7" s="22">
        <f>SUMIFS('Arm results'!$AI$2:$AI$201,'Arm results'!$C$2:$C$201,$C7,'Arm results'!$D$2:$D$201,"B0")</f>
        <v/>
      </c>
      <c r="T7" s="22">
        <f>SUMIFS('Arm results'!$AI$2:$AI$201,'Arm results'!$C$2:$C$201,$C7,'Arm results'!$D$2:$D$201,"A1")</f>
        <v/>
      </c>
      <c r="U7" s="8">
        <f>IF(H7=1,T7/S7,"")</f>
        <v/>
      </c>
      <c r="V7" s="23">
        <f>SUMIFS('Arm results'!$AJ$2:$AJ$201,'Arm results'!$C$2:$C$201,$C7,'Arm results'!$D$2:$D$201,"B0")</f>
        <v/>
      </c>
      <c r="W7" s="23">
        <f>SUMIFS('Arm results'!$AJ$2:$AJ$201,'Arm results'!$C$2:$C$201,$C7,'Arm results'!$D$2:$D$201,"A1")</f>
        <v/>
      </c>
      <c r="X7" s="5">
        <f>IF(V7&lt;&gt;W7,1,0)</f>
        <v/>
      </c>
    </row>
    <row r="8">
      <c r="A8" s="5" t="n">
        <v>1</v>
      </c>
      <c r="B8" s="5" t="n">
        <v>7</v>
      </c>
      <c r="C8" s="5" t="inlineStr">
        <is>
          <t>easy1_3</t>
        </is>
      </c>
      <c r="D8" s="5" t="inlineStr">
        <is>
          <t>easy1</t>
        </is>
      </c>
      <c r="E8" s="5" t="inlineStr">
        <is>
          <t>B0</t>
        </is>
      </c>
      <c r="F8" s="5" t="inlineStr">
        <is>
          <t>SUCCEEDED</t>
        </is>
      </c>
      <c r="G8" s="5" t="inlineStr">
        <is>
          <t>SUCCEEDED</t>
        </is>
      </c>
      <c r="H8" s="5">
        <f>IF(AND(F8="SUCCEEDED",G8="SUCCEEDED"),1,0)</f>
        <v/>
      </c>
      <c r="I8" s="17">
        <f>SUMIFS('Arm results'!$O$2:$O$201,'Arm results'!$C$2:$C$201,$C8,'Arm results'!$D$2:$D$201,"B0")</f>
        <v/>
      </c>
      <c r="J8" s="17">
        <f>SUMIFS('Arm results'!$O$2:$O$201,'Arm results'!$C$2:$C$201,$C8,'Arm results'!$D$2:$D$201,"A1")</f>
        <v/>
      </c>
      <c r="K8" s="8">
        <f>IF(H8=1,I8/J8,"")</f>
        <v/>
      </c>
      <c r="L8" s="18">
        <f>IF(H8=1,LN(K8),"")</f>
        <v/>
      </c>
      <c r="M8" s="19">
        <f>IF(H8=1,(I8-J8)/I8,"")</f>
        <v/>
      </c>
      <c r="N8" s="20">
        <f>IF(H8=1,(I8-SUMIFS('Arm results'!$X$2:$X$201,'Arm results'!$C$2:$C$201,$C8,'Arm results'!$D$2:$D$201,"B0"))/(J8-SUMIFS('Arm results'!$X$2:$X$201,'Arm results'!$C$2:$C$201,$C8,'Arm results'!$D$2:$D$201,"A1")),"")</f>
        <v/>
      </c>
      <c r="O8" s="21" t="n">
        <v>2.263075500028208</v>
      </c>
      <c r="P8" s="6" t="n">
        <v>1</v>
      </c>
      <c r="Q8" s="8">
        <f>IF(H8=1,(I8+O8)/(J8+O8),"")</f>
        <v/>
      </c>
      <c r="R8" s="18">
        <f>IF(H8=1,LN(Q8),"")</f>
        <v/>
      </c>
      <c r="S8" s="22">
        <f>SUMIFS('Arm results'!$AI$2:$AI$201,'Arm results'!$C$2:$C$201,$C8,'Arm results'!$D$2:$D$201,"B0")</f>
        <v/>
      </c>
      <c r="T8" s="22">
        <f>SUMIFS('Arm results'!$AI$2:$AI$201,'Arm results'!$C$2:$C$201,$C8,'Arm results'!$D$2:$D$201,"A1")</f>
        <v/>
      </c>
      <c r="U8" s="8">
        <f>IF(H8=1,T8/S8,"")</f>
        <v/>
      </c>
      <c r="V8" s="23">
        <f>SUMIFS('Arm results'!$AJ$2:$AJ$201,'Arm results'!$C$2:$C$201,$C8,'Arm results'!$D$2:$D$201,"B0")</f>
        <v/>
      </c>
      <c r="W8" s="23">
        <f>SUMIFS('Arm results'!$AJ$2:$AJ$201,'Arm results'!$C$2:$C$201,$C8,'Arm results'!$D$2:$D$201,"A1")</f>
        <v/>
      </c>
      <c r="X8" s="5">
        <f>IF(V8&lt;&gt;W8,1,0)</f>
        <v/>
      </c>
    </row>
    <row r="9">
      <c r="A9" s="5" t="n">
        <v>1</v>
      </c>
      <c r="B9" s="5" t="n">
        <v>8</v>
      </c>
      <c r="C9" s="5" t="inlineStr">
        <is>
          <t>easy2_18</t>
        </is>
      </c>
      <c r="D9" s="5" t="inlineStr">
        <is>
          <t>easy2</t>
        </is>
      </c>
      <c r="E9" s="5" t="inlineStr">
        <is>
          <t>A1</t>
        </is>
      </c>
      <c r="F9" s="5" t="inlineStr">
        <is>
          <t>SUCCEEDED</t>
        </is>
      </c>
      <c r="G9" s="5" t="inlineStr">
        <is>
          <t>SUCCEEDED</t>
        </is>
      </c>
      <c r="H9" s="5">
        <f>IF(AND(F9="SUCCEEDED",G9="SUCCEEDED"),1,0)</f>
        <v/>
      </c>
      <c r="I9" s="17">
        <f>SUMIFS('Arm results'!$O$2:$O$201,'Arm results'!$C$2:$C$201,$C9,'Arm results'!$D$2:$D$201,"B0")</f>
        <v/>
      </c>
      <c r="J9" s="17">
        <f>SUMIFS('Arm results'!$O$2:$O$201,'Arm results'!$C$2:$C$201,$C9,'Arm results'!$D$2:$D$201,"A1")</f>
        <v/>
      </c>
      <c r="K9" s="8">
        <f>IF(H9=1,I9/J9,"")</f>
        <v/>
      </c>
      <c r="L9" s="18">
        <f>IF(H9=1,LN(K9),"")</f>
        <v/>
      </c>
      <c r="M9" s="19">
        <f>IF(H9=1,(I9-J9)/I9,"")</f>
        <v/>
      </c>
      <c r="N9" s="20">
        <f>IF(H9=1,(I9-SUMIFS('Arm results'!$X$2:$X$201,'Arm results'!$C$2:$C$201,$C9,'Arm results'!$D$2:$D$201,"B0"))/(J9-SUMIFS('Arm results'!$X$2:$X$201,'Arm results'!$C$2:$C$201,$C9,'Arm results'!$D$2:$D$201,"A1")),"")</f>
        <v/>
      </c>
      <c r="O9" s="21" t="n">
        <v>1.227517299994361</v>
      </c>
      <c r="P9" s="6" t="n">
        <v>0</v>
      </c>
      <c r="Q9" s="8">
        <f>IF(H9=1,(I9+O9)/(J9+O9),"")</f>
        <v/>
      </c>
      <c r="R9" s="18">
        <f>IF(H9=1,LN(Q9),"")</f>
        <v/>
      </c>
      <c r="S9" s="22">
        <f>SUMIFS('Arm results'!$AI$2:$AI$201,'Arm results'!$C$2:$C$201,$C9,'Arm results'!$D$2:$D$201,"B0")</f>
        <v/>
      </c>
      <c r="T9" s="22">
        <f>SUMIFS('Arm results'!$AI$2:$AI$201,'Arm results'!$C$2:$C$201,$C9,'Arm results'!$D$2:$D$201,"A1")</f>
        <v/>
      </c>
      <c r="U9" s="8">
        <f>IF(H9=1,T9/S9,"")</f>
        <v/>
      </c>
      <c r="V9" s="23">
        <f>SUMIFS('Arm results'!$AJ$2:$AJ$201,'Arm results'!$C$2:$C$201,$C9,'Arm results'!$D$2:$D$201,"B0")</f>
        <v/>
      </c>
      <c r="W9" s="23">
        <f>SUMIFS('Arm results'!$AJ$2:$AJ$201,'Arm results'!$C$2:$C$201,$C9,'Arm results'!$D$2:$D$201,"A1")</f>
        <v/>
      </c>
      <c r="X9" s="5">
        <f>IF(V9&lt;&gt;W9,1,0)</f>
        <v/>
      </c>
    </row>
    <row r="10">
      <c r="A10" s="5" t="n">
        <v>1</v>
      </c>
      <c r="B10" s="5" t="n">
        <v>9</v>
      </c>
      <c r="C10" s="5" t="inlineStr">
        <is>
          <t>easy2_25</t>
        </is>
      </c>
      <c r="D10" s="5" t="inlineStr">
        <is>
          <t>easy2</t>
        </is>
      </c>
      <c r="E10" s="5" t="inlineStr">
        <is>
          <t>B0</t>
        </is>
      </c>
      <c r="F10" s="5" t="inlineStr">
        <is>
          <t>SUCCEEDED</t>
        </is>
      </c>
      <c r="G10" s="5" t="inlineStr">
        <is>
          <t>SUCCEEDED</t>
        </is>
      </c>
      <c r="H10" s="5">
        <f>IF(AND(F10="SUCCEEDED",G10="SUCCEEDED"),1,0)</f>
        <v/>
      </c>
      <c r="I10" s="17">
        <f>SUMIFS('Arm results'!$O$2:$O$201,'Arm results'!$C$2:$C$201,$C10,'Arm results'!$D$2:$D$201,"B0")</f>
        <v/>
      </c>
      <c r="J10" s="17">
        <f>SUMIFS('Arm results'!$O$2:$O$201,'Arm results'!$C$2:$C$201,$C10,'Arm results'!$D$2:$D$201,"A1")</f>
        <v/>
      </c>
      <c r="K10" s="8">
        <f>IF(H10=1,I10/J10,"")</f>
        <v/>
      </c>
      <c r="L10" s="18">
        <f>IF(H10=1,LN(K10),"")</f>
        <v/>
      </c>
      <c r="M10" s="19">
        <f>IF(H10=1,(I10-J10)/I10,"")</f>
        <v/>
      </c>
      <c r="N10" s="20">
        <f>IF(H10=1,(I10-SUMIFS('Arm results'!$X$2:$X$201,'Arm results'!$C$2:$C$201,$C10,'Arm results'!$D$2:$D$201,"B0"))/(J10-SUMIFS('Arm results'!$X$2:$X$201,'Arm results'!$C$2:$C$201,$C10,'Arm results'!$D$2:$D$201,"A1")),"")</f>
        <v/>
      </c>
      <c r="O10" s="21" t="n">
        <v>1.385309099976439</v>
      </c>
      <c r="P10" s="6" t="n">
        <v>0</v>
      </c>
      <c r="Q10" s="8">
        <f>IF(H10=1,(I10+O10)/(J10+O10),"")</f>
        <v/>
      </c>
      <c r="R10" s="18">
        <f>IF(H10=1,LN(Q10),"")</f>
        <v/>
      </c>
      <c r="S10" s="22">
        <f>SUMIFS('Arm results'!$AI$2:$AI$201,'Arm results'!$C$2:$C$201,$C10,'Arm results'!$D$2:$D$201,"B0")</f>
        <v/>
      </c>
      <c r="T10" s="22">
        <f>SUMIFS('Arm results'!$AI$2:$AI$201,'Arm results'!$C$2:$C$201,$C10,'Arm results'!$D$2:$D$201,"A1")</f>
        <v/>
      </c>
      <c r="U10" s="8">
        <f>IF(H10=1,T10/S10,"")</f>
        <v/>
      </c>
      <c r="V10" s="23">
        <f>SUMIFS('Arm results'!$AJ$2:$AJ$201,'Arm results'!$C$2:$C$201,$C10,'Arm results'!$D$2:$D$201,"B0")</f>
        <v/>
      </c>
      <c r="W10" s="23">
        <f>SUMIFS('Arm results'!$AJ$2:$AJ$201,'Arm results'!$C$2:$C$201,$C10,'Arm results'!$D$2:$D$201,"A1")</f>
        <v/>
      </c>
      <c r="X10" s="5">
        <f>IF(V10&lt;&gt;W10,1,0)</f>
        <v/>
      </c>
    </row>
    <row r="11">
      <c r="A11" s="5" t="n">
        <v>1</v>
      </c>
      <c r="B11" s="5" t="n">
        <v>10</v>
      </c>
      <c r="C11" s="5" t="inlineStr">
        <is>
          <t>protein_1CAD_query_2_mask_4</t>
        </is>
      </c>
      <c r="D11" s="5" t="inlineStr">
        <is>
          <t>hard4</t>
        </is>
      </c>
      <c r="E11" s="5" t="inlineStr">
        <is>
          <t>A1</t>
        </is>
      </c>
      <c r="F11" s="5" t="inlineStr">
        <is>
          <t>SUCCEEDED</t>
        </is>
      </c>
      <c r="G11" s="5" t="inlineStr">
        <is>
          <t>SUCCEEDED</t>
        </is>
      </c>
      <c r="H11" s="5">
        <f>IF(AND(F11="SUCCEEDED",G11="SUCCEEDED"),1,0)</f>
        <v/>
      </c>
      <c r="I11" s="17">
        <f>SUMIFS('Arm results'!$O$2:$O$201,'Arm results'!$C$2:$C$201,$C11,'Arm results'!$D$2:$D$201,"B0")</f>
        <v/>
      </c>
      <c r="J11" s="17">
        <f>SUMIFS('Arm results'!$O$2:$O$201,'Arm results'!$C$2:$C$201,$C11,'Arm results'!$D$2:$D$201,"A1")</f>
        <v/>
      </c>
      <c r="K11" s="8">
        <f>IF(H11=1,I11/J11,"")</f>
        <v/>
      </c>
      <c r="L11" s="18">
        <f>IF(H11=1,LN(K11),"")</f>
        <v/>
      </c>
      <c r="M11" s="19">
        <f>IF(H11=1,(I11-J11)/I11,"")</f>
        <v/>
      </c>
      <c r="N11" s="20">
        <f>IF(H11=1,(I11-SUMIFS('Arm results'!$X$2:$X$201,'Arm results'!$C$2:$C$201,$C11,'Arm results'!$D$2:$D$201,"B0"))/(J11-SUMIFS('Arm results'!$X$2:$X$201,'Arm results'!$C$2:$C$201,$C11,'Arm results'!$D$2:$D$201,"A1")),"")</f>
        <v/>
      </c>
      <c r="O11" s="21" t="n">
        <v>2.356542900030036</v>
      </c>
      <c r="P11" s="6" t="n">
        <v>0</v>
      </c>
      <c r="Q11" s="8">
        <f>IF(H11=1,(I11+O11)/(J11+O11),"")</f>
        <v/>
      </c>
      <c r="R11" s="18">
        <f>IF(H11=1,LN(Q11),"")</f>
        <v/>
      </c>
      <c r="S11" s="22">
        <f>SUMIFS('Arm results'!$AI$2:$AI$201,'Arm results'!$C$2:$C$201,$C11,'Arm results'!$D$2:$D$201,"B0")</f>
        <v/>
      </c>
      <c r="T11" s="22">
        <f>SUMIFS('Arm results'!$AI$2:$AI$201,'Arm results'!$C$2:$C$201,$C11,'Arm results'!$D$2:$D$201,"A1")</f>
        <v/>
      </c>
      <c r="U11" s="8">
        <f>IF(H11=1,T11/S11,"")</f>
        <v/>
      </c>
      <c r="V11" s="23">
        <f>SUMIFS('Arm results'!$AJ$2:$AJ$201,'Arm results'!$C$2:$C$201,$C11,'Arm results'!$D$2:$D$201,"B0")</f>
        <v/>
      </c>
      <c r="W11" s="23">
        <f>SUMIFS('Arm results'!$AJ$2:$AJ$201,'Arm results'!$C$2:$C$201,$C11,'Arm results'!$D$2:$D$201,"A1")</f>
        <v/>
      </c>
      <c r="X11" s="5">
        <f>IF(V11&lt;&gt;W11,1,0)</f>
        <v/>
      </c>
    </row>
    <row r="12">
      <c r="A12" s="5" t="n">
        <v>1</v>
      </c>
      <c r="B12" s="5" t="n">
        <v>11</v>
      </c>
      <c r="C12" s="5" t="inlineStr">
        <is>
          <t>med2_22</t>
        </is>
      </c>
      <c r="D12" s="5" t="inlineStr">
        <is>
          <t>med2</t>
        </is>
      </c>
      <c r="E12" s="5" t="inlineStr">
        <is>
          <t>B0</t>
        </is>
      </c>
      <c r="F12" s="5" t="inlineStr">
        <is>
          <t>SUCCEEDED</t>
        </is>
      </c>
      <c r="G12" s="5" t="inlineStr">
        <is>
          <t>SUCCEEDED</t>
        </is>
      </c>
      <c r="H12" s="5">
        <f>IF(AND(F12="SUCCEEDED",G12="SUCCEEDED"),1,0)</f>
        <v/>
      </c>
      <c r="I12" s="17">
        <f>SUMIFS('Arm results'!$O$2:$O$201,'Arm results'!$C$2:$C$201,$C12,'Arm results'!$D$2:$D$201,"B0")</f>
        <v/>
      </c>
      <c r="J12" s="17">
        <f>SUMIFS('Arm results'!$O$2:$O$201,'Arm results'!$C$2:$C$201,$C12,'Arm results'!$D$2:$D$201,"A1")</f>
        <v/>
      </c>
      <c r="K12" s="8">
        <f>IF(H12=1,I12/J12,"")</f>
        <v/>
      </c>
      <c r="L12" s="18">
        <f>IF(H12=1,LN(K12),"")</f>
        <v/>
      </c>
      <c r="M12" s="19">
        <f>IF(H12=1,(I12-J12)/I12,"")</f>
        <v/>
      </c>
      <c r="N12" s="20">
        <f>IF(H12=1,(I12-SUMIFS('Arm results'!$X$2:$X$201,'Arm results'!$C$2:$C$201,$C12,'Arm results'!$D$2:$D$201,"B0"))/(J12-SUMIFS('Arm results'!$X$2:$X$201,'Arm results'!$C$2:$C$201,$C12,'Arm results'!$D$2:$D$201,"A1")),"")</f>
        <v/>
      </c>
      <c r="O12" s="21" t="n">
        <v>1.988336300011724</v>
      </c>
      <c r="P12" s="6" t="n">
        <v>1</v>
      </c>
      <c r="Q12" s="8">
        <f>IF(H12=1,(I12+O12)/(J12+O12),"")</f>
        <v/>
      </c>
      <c r="R12" s="18">
        <f>IF(H12=1,LN(Q12),"")</f>
        <v/>
      </c>
      <c r="S12" s="22">
        <f>SUMIFS('Arm results'!$AI$2:$AI$201,'Arm results'!$C$2:$C$201,$C12,'Arm results'!$D$2:$D$201,"B0")</f>
        <v/>
      </c>
      <c r="T12" s="22">
        <f>SUMIFS('Arm results'!$AI$2:$AI$201,'Arm results'!$C$2:$C$201,$C12,'Arm results'!$D$2:$D$201,"A1")</f>
        <v/>
      </c>
      <c r="U12" s="8">
        <f>IF(H12=1,T12/S12,"")</f>
        <v/>
      </c>
      <c r="V12" s="23">
        <f>SUMIFS('Arm results'!$AJ$2:$AJ$201,'Arm results'!$C$2:$C$201,$C12,'Arm results'!$D$2:$D$201,"B0")</f>
        <v/>
      </c>
      <c r="W12" s="23">
        <f>SUMIFS('Arm results'!$AJ$2:$AJ$201,'Arm results'!$C$2:$C$201,$C12,'Arm results'!$D$2:$D$201,"A1")</f>
        <v/>
      </c>
      <c r="X12" s="5">
        <f>IF(V12&lt;&gt;W12,1,0)</f>
        <v/>
      </c>
    </row>
    <row r="13">
      <c r="A13" s="5" t="n">
        <v>1</v>
      </c>
      <c r="B13" s="5" t="n">
        <v>12</v>
      </c>
      <c r="C13" s="5" t="inlineStr">
        <is>
          <t>protein_1CRN_query_3_mask_4</t>
        </is>
      </c>
      <c r="D13" s="5" t="inlineStr">
        <is>
          <t>hard4</t>
        </is>
      </c>
      <c r="E13" s="5" t="inlineStr">
        <is>
          <t>A1</t>
        </is>
      </c>
      <c r="F13" s="5" t="inlineStr">
        <is>
          <t>SUCCEEDED</t>
        </is>
      </c>
      <c r="G13" s="5" t="inlineStr">
        <is>
          <t>SUCCEEDED</t>
        </is>
      </c>
      <c r="H13" s="5">
        <f>IF(AND(F13="SUCCEEDED",G13="SUCCEEDED"),1,0)</f>
        <v/>
      </c>
      <c r="I13" s="17">
        <f>SUMIFS('Arm results'!$O$2:$O$201,'Arm results'!$C$2:$C$201,$C13,'Arm results'!$D$2:$D$201,"B0")</f>
        <v/>
      </c>
      <c r="J13" s="17">
        <f>SUMIFS('Arm results'!$O$2:$O$201,'Arm results'!$C$2:$C$201,$C13,'Arm results'!$D$2:$D$201,"A1")</f>
        <v/>
      </c>
      <c r="K13" s="8">
        <f>IF(H13=1,I13/J13,"")</f>
        <v/>
      </c>
      <c r="L13" s="18">
        <f>IF(H13=1,LN(K13),"")</f>
        <v/>
      </c>
      <c r="M13" s="19">
        <f>IF(H13=1,(I13-J13)/I13,"")</f>
        <v/>
      </c>
      <c r="N13" s="20">
        <f>IF(H13=1,(I13-SUMIFS('Arm results'!$X$2:$X$201,'Arm results'!$C$2:$C$201,$C13,'Arm results'!$D$2:$D$201,"B0"))/(J13-SUMIFS('Arm results'!$X$2:$X$201,'Arm results'!$C$2:$C$201,$C13,'Arm results'!$D$2:$D$201,"A1")),"")</f>
        <v/>
      </c>
      <c r="O13" s="21" t="n">
        <v>2.619339900033083</v>
      </c>
      <c r="P13" s="6" t="n">
        <v>0</v>
      </c>
      <c r="Q13" s="8">
        <f>IF(H13=1,(I13+O13)/(J13+O13),"")</f>
        <v/>
      </c>
      <c r="R13" s="18">
        <f>IF(H13=1,LN(Q13),"")</f>
        <v/>
      </c>
      <c r="S13" s="22">
        <f>SUMIFS('Arm results'!$AI$2:$AI$201,'Arm results'!$C$2:$C$201,$C13,'Arm results'!$D$2:$D$201,"B0")</f>
        <v/>
      </c>
      <c r="T13" s="22">
        <f>SUMIFS('Arm results'!$AI$2:$AI$201,'Arm results'!$C$2:$C$201,$C13,'Arm results'!$D$2:$D$201,"A1")</f>
        <v/>
      </c>
      <c r="U13" s="8">
        <f>IF(H13=1,T13/S13,"")</f>
        <v/>
      </c>
      <c r="V13" s="23">
        <f>SUMIFS('Arm results'!$AJ$2:$AJ$201,'Arm results'!$C$2:$C$201,$C13,'Arm results'!$D$2:$D$201,"B0")</f>
        <v/>
      </c>
      <c r="W13" s="23">
        <f>SUMIFS('Arm results'!$AJ$2:$AJ$201,'Arm results'!$C$2:$C$201,$C13,'Arm results'!$D$2:$D$201,"A1")</f>
        <v/>
      </c>
      <c r="X13" s="5">
        <f>IF(V13&lt;&gt;W13,1,0)</f>
        <v/>
      </c>
    </row>
    <row r="14">
      <c r="A14" s="5" t="n">
        <v>1</v>
      </c>
      <c r="B14" s="5" t="n">
        <v>13</v>
      </c>
      <c r="C14" s="5" t="inlineStr">
        <is>
          <t>med1_3</t>
        </is>
      </c>
      <c r="D14" s="5" t="inlineStr">
        <is>
          <t>med1</t>
        </is>
      </c>
      <c r="E14" s="5" t="inlineStr">
        <is>
          <t>B0</t>
        </is>
      </c>
      <c r="F14" s="5" t="inlineStr">
        <is>
          <t>SUCCEEDED</t>
        </is>
      </c>
      <c r="G14" s="5" t="inlineStr">
        <is>
          <t>SUCCEEDED</t>
        </is>
      </c>
      <c r="H14" s="5">
        <f>IF(AND(F14="SUCCEEDED",G14="SUCCEEDED"),1,0)</f>
        <v/>
      </c>
      <c r="I14" s="17">
        <f>SUMIFS('Arm results'!$O$2:$O$201,'Arm results'!$C$2:$C$201,$C14,'Arm results'!$D$2:$D$201,"B0")</f>
        <v/>
      </c>
      <c r="J14" s="17">
        <f>SUMIFS('Arm results'!$O$2:$O$201,'Arm results'!$C$2:$C$201,$C14,'Arm results'!$D$2:$D$201,"A1")</f>
        <v/>
      </c>
      <c r="K14" s="8">
        <f>IF(H14=1,I14/J14,"")</f>
        <v/>
      </c>
      <c r="L14" s="18">
        <f>IF(H14=1,LN(K14),"")</f>
        <v/>
      </c>
      <c r="M14" s="19">
        <f>IF(H14=1,(I14-J14)/I14,"")</f>
        <v/>
      </c>
      <c r="N14" s="20">
        <f>IF(H14=1,(I14-SUMIFS('Arm results'!$X$2:$X$201,'Arm results'!$C$2:$C$201,$C14,'Arm results'!$D$2:$D$201,"B0"))/(J14-SUMIFS('Arm results'!$X$2:$X$201,'Arm results'!$C$2:$C$201,$C14,'Arm results'!$D$2:$D$201,"A1")),"")</f>
        <v/>
      </c>
      <c r="O14" s="21" t="n">
        <v>2.332582600007299</v>
      </c>
      <c r="P14" s="6" t="n">
        <v>1</v>
      </c>
      <c r="Q14" s="8">
        <f>IF(H14=1,(I14+O14)/(J14+O14),"")</f>
        <v/>
      </c>
      <c r="R14" s="18">
        <f>IF(H14=1,LN(Q14),"")</f>
        <v/>
      </c>
      <c r="S14" s="22">
        <f>SUMIFS('Arm results'!$AI$2:$AI$201,'Arm results'!$C$2:$C$201,$C14,'Arm results'!$D$2:$D$201,"B0")</f>
        <v/>
      </c>
      <c r="T14" s="22">
        <f>SUMIFS('Arm results'!$AI$2:$AI$201,'Arm results'!$C$2:$C$201,$C14,'Arm results'!$D$2:$D$201,"A1")</f>
        <v/>
      </c>
      <c r="U14" s="8">
        <f>IF(H14=1,T14/S14,"")</f>
        <v/>
      </c>
      <c r="V14" s="23">
        <f>SUMIFS('Arm results'!$AJ$2:$AJ$201,'Arm results'!$C$2:$C$201,$C14,'Arm results'!$D$2:$D$201,"B0")</f>
        <v/>
      </c>
      <c r="W14" s="23">
        <f>SUMIFS('Arm results'!$AJ$2:$AJ$201,'Arm results'!$C$2:$C$201,$C14,'Arm results'!$D$2:$D$201,"A1")</f>
        <v/>
      </c>
      <c r="X14" s="5">
        <f>IF(V14&lt;&gt;W14,1,0)</f>
        <v/>
      </c>
    </row>
    <row r="15">
      <c r="A15" s="5" t="n">
        <v>1</v>
      </c>
      <c r="B15" s="5" t="n">
        <v>14</v>
      </c>
      <c r="C15" s="5" t="inlineStr">
        <is>
          <t>protein_1PGA_query_6_mask_2</t>
        </is>
      </c>
      <c r="D15" s="5" t="inlineStr">
        <is>
          <t>med4</t>
        </is>
      </c>
      <c r="E15" s="5" t="inlineStr">
        <is>
          <t>A1</t>
        </is>
      </c>
      <c r="F15" s="5" t="inlineStr">
        <is>
          <t>SUCCEEDED</t>
        </is>
      </c>
      <c r="G15" s="5" t="inlineStr">
        <is>
          <t>SUCCEEDED</t>
        </is>
      </c>
      <c r="H15" s="5">
        <f>IF(AND(F15="SUCCEEDED",G15="SUCCEEDED"),1,0)</f>
        <v/>
      </c>
      <c r="I15" s="17">
        <f>SUMIFS('Arm results'!$O$2:$O$201,'Arm results'!$C$2:$C$201,$C15,'Arm results'!$D$2:$D$201,"B0")</f>
        <v/>
      </c>
      <c r="J15" s="17">
        <f>SUMIFS('Arm results'!$O$2:$O$201,'Arm results'!$C$2:$C$201,$C15,'Arm results'!$D$2:$D$201,"A1")</f>
        <v/>
      </c>
      <c r="K15" s="8">
        <f>IF(H15=1,I15/J15,"")</f>
        <v/>
      </c>
      <c r="L15" s="18">
        <f>IF(H15=1,LN(K15),"")</f>
        <v/>
      </c>
      <c r="M15" s="19">
        <f>IF(H15=1,(I15-J15)/I15,"")</f>
        <v/>
      </c>
      <c r="N15" s="20">
        <f>IF(H15=1,(I15-SUMIFS('Arm results'!$X$2:$X$201,'Arm results'!$C$2:$C$201,$C15,'Arm results'!$D$2:$D$201,"B0"))/(J15-SUMIFS('Arm results'!$X$2:$X$201,'Arm results'!$C$2:$C$201,$C15,'Arm results'!$D$2:$D$201,"A1")),"")</f>
        <v/>
      </c>
      <c r="O15" s="21" t="n">
        <v>2.32529720000457</v>
      </c>
      <c r="P15" s="6" t="n">
        <v>0</v>
      </c>
      <c r="Q15" s="8">
        <f>IF(H15=1,(I15+O15)/(J15+O15),"")</f>
        <v/>
      </c>
      <c r="R15" s="18">
        <f>IF(H15=1,LN(Q15),"")</f>
        <v/>
      </c>
      <c r="S15" s="22">
        <f>SUMIFS('Arm results'!$AI$2:$AI$201,'Arm results'!$C$2:$C$201,$C15,'Arm results'!$D$2:$D$201,"B0")</f>
        <v/>
      </c>
      <c r="T15" s="22">
        <f>SUMIFS('Arm results'!$AI$2:$AI$201,'Arm results'!$C$2:$C$201,$C15,'Arm results'!$D$2:$D$201,"A1")</f>
        <v/>
      </c>
      <c r="U15" s="8">
        <f>IF(H15=1,T15/S15,"")</f>
        <v/>
      </c>
      <c r="V15" s="23">
        <f>SUMIFS('Arm results'!$AJ$2:$AJ$201,'Arm results'!$C$2:$C$201,$C15,'Arm results'!$D$2:$D$201,"B0")</f>
        <v/>
      </c>
      <c r="W15" s="23">
        <f>SUMIFS('Arm results'!$AJ$2:$AJ$201,'Arm results'!$C$2:$C$201,$C15,'Arm results'!$D$2:$D$201,"A1")</f>
        <v/>
      </c>
      <c r="X15" s="5">
        <f>IF(V15&lt;&gt;W15,1,0)</f>
        <v/>
      </c>
    </row>
    <row r="16">
      <c r="A16" s="5" t="n">
        <v>1</v>
      </c>
      <c r="B16" s="5" t="n">
        <v>15</v>
      </c>
      <c r="C16" s="5" t="inlineStr">
        <is>
          <t>med3_45</t>
        </is>
      </c>
      <c r="D16" s="5" t="inlineStr">
        <is>
          <t>med3</t>
        </is>
      </c>
      <c r="E16" s="5" t="inlineStr">
        <is>
          <t>B0</t>
        </is>
      </c>
      <c r="F16" s="5" t="inlineStr">
        <is>
          <t>SUCCEEDED</t>
        </is>
      </c>
      <c r="G16" s="5" t="inlineStr">
        <is>
          <t>SUCCEEDED</t>
        </is>
      </c>
      <c r="H16" s="5">
        <f>IF(AND(F16="SUCCEEDED",G16="SUCCEEDED"),1,0)</f>
        <v/>
      </c>
      <c r="I16" s="17">
        <f>SUMIFS('Arm results'!$O$2:$O$201,'Arm results'!$C$2:$C$201,$C16,'Arm results'!$D$2:$D$201,"B0")</f>
        <v/>
      </c>
      <c r="J16" s="17">
        <f>SUMIFS('Arm results'!$O$2:$O$201,'Arm results'!$C$2:$C$201,$C16,'Arm results'!$D$2:$D$201,"A1")</f>
        <v/>
      </c>
      <c r="K16" s="8">
        <f>IF(H16=1,I16/J16,"")</f>
        <v/>
      </c>
      <c r="L16" s="18">
        <f>IF(H16=1,LN(K16),"")</f>
        <v/>
      </c>
      <c r="M16" s="19">
        <f>IF(H16=1,(I16-J16)/I16,"")</f>
        <v/>
      </c>
      <c r="N16" s="20">
        <f>IF(H16=1,(I16-SUMIFS('Arm results'!$X$2:$X$201,'Arm results'!$C$2:$C$201,$C16,'Arm results'!$D$2:$D$201,"B0"))/(J16-SUMIFS('Arm results'!$X$2:$X$201,'Arm results'!$C$2:$C$201,$C16,'Arm results'!$D$2:$D$201,"A1")),"")</f>
        <v/>
      </c>
      <c r="O16" s="21" t="n">
        <v>2.553066199994646</v>
      </c>
      <c r="P16" s="6" t="n">
        <v>1</v>
      </c>
      <c r="Q16" s="8">
        <f>IF(H16=1,(I16+O16)/(J16+O16),"")</f>
        <v/>
      </c>
      <c r="R16" s="18">
        <f>IF(H16=1,LN(Q16),"")</f>
        <v/>
      </c>
      <c r="S16" s="22">
        <f>SUMIFS('Arm results'!$AI$2:$AI$201,'Arm results'!$C$2:$C$201,$C16,'Arm results'!$D$2:$D$201,"B0")</f>
        <v/>
      </c>
      <c r="T16" s="22">
        <f>SUMIFS('Arm results'!$AI$2:$AI$201,'Arm results'!$C$2:$C$201,$C16,'Arm results'!$D$2:$D$201,"A1")</f>
        <v/>
      </c>
      <c r="U16" s="8">
        <f>IF(H16=1,T16/S16,"")</f>
        <v/>
      </c>
      <c r="V16" s="23">
        <f>SUMIFS('Arm results'!$AJ$2:$AJ$201,'Arm results'!$C$2:$C$201,$C16,'Arm results'!$D$2:$D$201,"B0")</f>
        <v/>
      </c>
      <c r="W16" s="23">
        <f>SUMIFS('Arm results'!$AJ$2:$AJ$201,'Arm results'!$C$2:$C$201,$C16,'Arm results'!$D$2:$D$201,"A1")</f>
        <v/>
      </c>
      <c r="X16" s="5">
        <f>IF(V16&lt;&gt;W16,1,0)</f>
        <v/>
      </c>
    </row>
    <row r="17">
      <c r="A17" s="5" t="n">
        <v>1</v>
      </c>
      <c r="B17" s="5" t="n">
        <v>16</v>
      </c>
      <c r="C17" s="5" t="inlineStr">
        <is>
          <t>easy2_8</t>
        </is>
      </c>
      <c r="D17" s="5" t="inlineStr">
        <is>
          <t>easy2</t>
        </is>
      </c>
      <c r="E17" s="5" t="inlineStr">
        <is>
          <t>A1</t>
        </is>
      </c>
      <c r="F17" s="5" t="inlineStr">
        <is>
          <t>SUCCEEDED</t>
        </is>
      </c>
      <c r="G17" s="5" t="inlineStr">
        <is>
          <t>SUCCEEDED</t>
        </is>
      </c>
      <c r="H17" s="5">
        <f>IF(AND(F17="SUCCEEDED",G17="SUCCEEDED"),1,0)</f>
        <v/>
      </c>
      <c r="I17" s="17">
        <f>SUMIFS('Arm results'!$O$2:$O$201,'Arm results'!$C$2:$C$201,$C17,'Arm results'!$D$2:$D$201,"B0")</f>
        <v/>
      </c>
      <c r="J17" s="17">
        <f>SUMIFS('Arm results'!$O$2:$O$201,'Arm results'!$C$2:$C$201,$C17,'Arm results'!$D$2:$D$201,"A1")</f>
        <v/>
      </c>
      <c r="K17" s="8">
        <f>IF(H17=1,I17/J17,"")</f>
        <v/>
      </c>
      <c r="L17" s="18">
        <f>IF(H17=1,LN(K17),"")</f>
        <v/>
      </c>
      <c r="M17" s="19">
        <f>IF(H17=1,(I17-J17)/I17,"")</f>
        <v/>
      </c>
      <c r="N17" s="20">
        <f>IF(H17=1,(I17-SUMIFS('Arm results'!$X$2:$X$201,'Arm results'!$C$2:$C$201,$C17,'Arm results'!$D$2:$D$201,"B0"))/(J17-SUMIFS('Arm results'!$X$2:$X$201,'Arm results'!$C$2:$C$201,$C17,'Arm results'!$D$2:$D$201,"A1")),"")</f>
        <v/>
      </c>
      <c r="O17" s="21" t="n">
        <v>1.700802400009707</v>
      </c>
      <c r="P17" s="6" t="n">
        <v>0</v>
      </c>
      <c r="Q17" s="8">
        <f>IF(H17=1,(I17+O17)/(J17+O17),"")</f>
        <v/>
      </c>
      <c r="R17" s="18">
        <f>IF(H17=1,LN(Q17),"")</f>
        <v/>
      </c>
      <c r="S17" s="22">
        <f>SUMIFS('Arm results'!$AI$2:$AI$201,'Arm results'!$C$2:$C$201,$C17,'Arm results'!$D$2:$D$201,"B0")</f>
        <v/>
      </c>
      <c r="T17" s="22">
        <f>SUMIFS('Arm results'!$AI$2:$AI$201,'Arm results'!$C$2:$C$201,$C17,'Arm results'!$D$2:$D$201,"A1")</f>
        <v/>
      </c>
      <c r="U17" s="8">
        <f>IF(H17=1,T17/S17,"")</f>
        <v/>
      </c>
      <c r="V17" s="23">
        <f>SUMIFS('Arm results'!$AJ$2:$AJ$201,'Arm results'!$C$2:$C$201,$C17,'Arm results'!$D$2:$D$201,"B0")</f>
        <v/>
      </c>
      <c r="W17" s="23">
        <f>SUMIFS('Arm results'!$AJ$2:$AJ$201,'Arm results'!$C$2:$C$201,$C17,'Arm results'!$D$2:$D$201,"A1")</f>
        <v/>
      </c>
      <c r="X17" s="5">
        <f>IF(V17&lt;&gt;W17,1,0)</f>
        <v/>
      </c>
    </row>
    <row r="18">
      <c r="A18" s="5" t="n">
        <v>1</v>
      </c>
      <c r="B18" s="5" t="n">
        <v>17</v>
      </c>
      <c r="C18" s="5" t="inlineStr">
        <is>
          <t>hard2_20</t>
        </is>
      </c>
      <c r="D18" s="5" t="inlineStr">
        <is>
          <t>hard2</t>
        </is>
      </c>
      <c r="E18" s="5" t="inlineStr">
        <is>
          <t>B0</t>
        </is>
      </c>
      <c r="F18" s="5" t="inlineStr">
        <is>
          <t>SUCCEEDED</t>
        </is>
      </c>
      <c r="G18" s="5" t="inlineStr">
        <is>
          <t>SUCCEEDED</t>
        </is>
      </c>
      <c r="H18" s="5">
        <f>IF(AND(F18="SUCCEEDED",G18="SUCCEEDED"),1,0)</f>
        <v/>
      </c>
      <c r="I18" s="17">
        <f>SUMIFS('Arm results'!$O$2:$O$201,'Arm results'!$C$2:$C$201,$C18,'Arm results'!$D$2:$D$201,"B0")</f>
        <v/>
      </c>
      <c r="J18" s="17">
        <f>SUMIFS('Arm results'!$O$2:$O$201,'Arm results'!$C$2:$C$201,$C18,'Arm results'!$D$2:$D$201,"A1")</f>
        <v/>
      </c>
      <c r="K18" s="8">
        <f>IF(H18=1,I18/J18,"")</f>
        <v/>
      </c>
      <c r="L18" s="18">
        <f>IF(H18=1,LN(K18),"")</f>
        <v/>
      </c>
      <c r="M18" s="19">
        <f>IF(H18=1,(I18-J18)/I18,"")</f>
        <v/>
      </c>
      <c r="N18" s="20">
        <f>IF(H18=1,(I18-SUMIFS('Arm results'!$X$2:$X$201,'Arm results'!$C$2:$C$201,$C18,'Arm results'!$D$2:$D$201,"B0"))/(J18-SUMIFS('Arm results'!$X$2:$X$201,'Arm results'!$C$2:$C$201,$C18,'Arm results'!$D$2:$D$201,"A1")),"")</f>
        <v/>
      </c>
      <c r="O18" s="21" t="n">
        <v>2.595501600007992</v>
      </c>
      <c r="P18" s="6" t="n">
        <v>0</v>
      </c>
      <c r="Q18" s="8">
        <f>IF(H18=1,(I18+O18)/(J18+O18),"")</f>
        <v/>
      </c>
      <c r="R18" s="18">
        <f>IF(H18=1,LN(Q18),"")</f>
        <v/>
      </c>
      <c r="S18" s="22">
        <f>SUMIFS('Arm results'!$AI$2:$AI$201,'Arm results'!$C$2:$C$201,$C18,'Arm results'!$D$2:$D$201,"B0")</f>
        <v/>
      </c>
      <c r="T18" s="22">
        <f>SUMIFS('Arm results'!$AI$2:$AI$201,'Arm results'!$C$2:$C$201,$C18,'Arm results'!$D$2:$D$201,"A1")</f>
        <v/>
      </c>
      <c r="U18" s="8">
        <f>IF(H18=1,T18/S18,"")</f>
        <v/>
      </c>
      <c r="V18" s="23">
        <f>SUMIFS('Arm results'!$AJ$2:$AJ$201,'Arm results'!$C$2:$C$201,$C18,'Arm results'!$D$2:$D$201,"B0")</f>
        <v/>
      </c>
      <c r="W18" s="23">
        <f>SUMIFS('Arm results'!$AJ$2:$AJ$201,'Arm results'!$C$2:$C$201,$C18,'Arm results'!$D$2:$D$201,"A1")</f>
        <v/>
      </c>
      <c r="X18" s="5">
        <f>IF(V18&lt;&gt;W18,1,0)</f>
        <v/>
      </c>
    </row>
    <row r="19">
      <c r="A19" s="5" t="n">
        <v>1</v>
      </c>
      <c r="B19" s="5" t="n">
        <v>18</v>
      </c>
      <c r="C19" s="5" t="inlineStr">
        <is>
          <t>med3_11</t>
        </is>
      </c>
      <c r="D19" s="5" t="inlineStr">
        <is>
          <t>med3</t>
        </is>
      </c>
      <c r="E19" s="5" t="inlineStr">
        <is>
          <t>A1</t>
        </is>
      </c>
      <c r="F19" s="5" t="inlineStr">
        <is>
          <t>SUCCEEDED</t>
        </is>
      </c>
      <c r="G19" s="5" t="inlineStr">
        <is>
          <t>SUCCEEDED</t>
        </is>
      </c>
      <c r="H19" s="5">
        <f>IF(AND(F19="SUCCEEDED",G19="SUCCEEDED"),1,0)</f>
        <v/>
      </c>
      <c r="I19" s="17">
        <f>SUMIFS('Arm results'!$O$2:$O$201,'Arm results'!$C$2:$C$201,$C19,'Arm results'!$D$2:$D$201,"B0")</f>
        <v/>
      </c>
      <c r="J19" s="17">
        <f>SUMIFS('Arm results'!$O$2:$O$201,'Arm results'!$C$2:$C$201,$C19,'Arm results'!$D$2:$D$201,"A1")</f>
        <v/>
      </c>
      <c r="K19" s="8">
        <f>IF(H19=1,I19/J19,"")</f>
        <v/>
      </c>
      <c r="L19" s="18">
        <f>IF(H19=1,LN(K19),"")</f>
        <v/>
      </c>
      <c r="M19" s="19">
        <f>IF(H19=1,(I19-J19)/I19,"")</f>
        <v/>
      </c>
      <c r="N19" s="20">
        <f>IF(H19=1,(I19-SUMIFS('Arm results'!$X$2:$X$201,'Arm results'!$C$2:$C$201,$C19,'Arm results'!$D$2:$D$201,"B0"))/(J19-SUMIFS('Arm results'!$X$2:$X$201,'Arm results'!$C$2:$C$201,$C19,'Arm results'!$D$2:$D$201,"A1")),"")</f>
        <v/>
      </c>
      <c r="O19" s="21" t="n">
        <v>2.15476199996192</v>
      </c>
      <c r="P19" s="6" t="n">
        <v>1</v>
      </c>
      <c r="Q19" s="8">
        <f>IF(H19=1,(I19+O19)/(J19+O19),"")</f>
        <v/>
      </c>
      <c r="R19" s="18">
        <f>IF(H19=1,LN(Q19),"")</f>
        <v/>
      </c>
      <c r="S19" s="22">
        <f>SUMIFS('Arm results'!$AI$2:$AI$201,'Arm results'!$C$2:$C$201,$C19,'Arm results'!$D$2:$D$201,"B0")</f>
        <v/>
      </c>
      <c r="T19" s="22">
        <f>SUMIFS('Arm results'!$AI$2:$AI$201,'Arm results'!$C$2:$C$201,$C19,'Arm results'!$D$2:$D$201,"A1")</f>
        <v/>
      </c>
      <c r="U19" s="8">
        <f>IF(H19=1,T19/S19,"")</f>
        <v/>
      </c>
      <c r="V19" s="23">
        <f>SUMIFS('Arm results'!$AJ$2:$AJ$201,'Arm results'!$C$2:$C$201,$C19,'Arm results'!$D$2:$D$201,"B0")</f>
        <v/>
      </c>
      <c r="W19" s="23">
        <f>SUMIFS('Arm results'!$AJ$2:$AJ$201,'Arm results'!$C$2:$C$201,$C19,'Arm results'!$D$2:$D$201,"A1")</f>
        <v/>
      </c>
      <c r="X19" s="5">
        <f>IF(V19&lt;&gt;W19,1,0)</f>
        <v/>
      </c>
    </row>
    <row r="20">
      <c r="A20" s="5" t="n">
        <v>1</v>
      </c>
      <c r="B20" s="5" t="n">
        <v>19</v>
      </c>
      <c r="C20" s="5" t="inlineStr">
        <is>
          <t>med2_45</t>
        </is>
      </c>
      <c r="D20" s="5" t="inlineStr">
        <is>
          <t>med2</t>
        </is>
      </c>
      <c r="E20" s="5" t="inlineStr">
        <is>
          <t>B0</t>
        </is>
      </c>
      <c r="F20" s="5" t="inlineStr">
        <is>
          <t>SUCCEEDED</t>
        </is>
      </c>
      <c r="G20" s="5" t="inlineStr">
        <is>
          <t>SUCCEEDED</t>
        </is>
      </c>
      <c r="H20" s="5">
        <f>IF(AND(F20="SUCCEEDED",G20="SUCCEEDED"),1,0)</f>
        <v/>
      </c>
      <c r="I20" s="17">
        <f>SUMIFS('Arm results'!$O$2:$O$201,'Arm results'!$C$2:$C$201,$C20,'Arm results'!$D$2:$D$201,"B0")</f>
        <v/>
      </c>
      <c r="J20" s="17">
        <f>SUMIFS('Arm results'!$O$2:$O$201,'Arm results'!$C$2:$C$201,$C20,'Arm results'!$D$2:$D$201,"A1")</f>
        <v/>
      </c>
      <c r="K20" s="8">
        <f>IF(H20=1,I20/J20,"")</f>
        <v/>
      </c>
      <c r="L20" s="18">
        <f>IF(H20=1,LN(K20),"")</f>
        <v/>
      </c>
      <c r="M20" s="19">
        <f>IF(H20=1,(I20-J20)/I20,"")</f>
        <v/>
      </c>
      <c r="N20" s="20">
        <f>IF(H20=1,(I20-SUMIFS('Arm results'!$X$2:$X$201,'Arm results'!$C$2:$C$201,$C20,'Arm results'!$D$2:$D$201,"B0"))/(J20-SUMIFS('Arm results'!$X$2:$X$201,'Arm results'!$C$2:$C$201,$C20,'Arm results'!$D$2:$D$201,"A1")),"")</f>
        <v/>
      </c>
      <c r="O20" s="21" t="n">
        <v>2.490533199976198</v>
      </c>
      <c r="P20" s="6" t="n">
        <v>1</v>
      </c>
      <c r="Q20" s="8">
        <f>IF(H20=1,(I20+O20)/(J20+O20),"")</f>
        <v/>
      </c>
      <c r="R20" s="18">
        <f>IF(H20=1,LN(Q20),"")</f>
        <v/>
      </c>
      <c r="S20" s="22">
        <f>SUMIFS('Arm results'!$AI$2:$AI$201,'Arm results'!$C$2:$C$201,$C20,'Arm results'!$D$2:$D$201,"B0")</f>
        <v/>
      </c>
      <c r="T20" s="22">
        <f>SUMIFS('Arm results'!$AI$2:$AI$201,'Arm results'!$C$2:$C$201,$C20,'Arm results'!$D$2:$D$201,"A1")</f>
        <v/>
      </c>
      <c r="U20" s="8">
        <f>IF(H20=1,T20/S20,"")</f>
        <v/>
      </c>
      <c r="V20" s="23">
        <f>SUMIFS('Arm results'!$AJ$2:$AJ$201,'Arm results'!$C$2:$C$201,$C20,'Arm results'!$D$2:$D$201,"B0")</f>
        <v/>
      </c>
      <c r="W20" s="23">
        <f>SUMIFS('Arm results'!$AJ$2:$AJ$201,'Arm results'!$C$2:$C$201,$C20,'Arm results'!$D$2:$D$201,"A1")</f>
        <v/>
      </c>
      <c r="X20" s="5">
        <f>IF(V20&lt;&gt;W20,1,0)</f>
        <v/>
      </c>
    </row>
    <row r="21">
      <c r="A21" s="5" t="n">
        <v>1</v>
      </c>
      <c r="B21" s="5" t="n">
        <v>20</v>
      </c>
      <c r="C21" s="5" t="inlineStr">
        <is>
          <t>easy1_14</t>
        </is>
      </c>
      <c r="D21" s="5" t="inlineStr">
        <is>
          <t>easy1</t>
        </is>
      </c>
      <c r="E21" s="5" t="inlineStr">
        <is>
          <t>A1</t>
        </is>
      </c>
      <c r="F21" s="5" t="inlineStr">
        <is>
          <t>SUCCEEDED</t>
        </is>
      </c>
      <c r="G21" s="5" t="inlineStr">
        <is>
          <t>SUCCEEDED</t>
        </is>
      </c>
      <c r="H21" s="5">
        <f>IF(AND(F21="SUCCEEDED",G21="SUCCEEDED"),1,0)</f>
        <v/>
      </c>
      <c r="I21" s="17">
        <f>SUMIFS('Arm results'!$O$2:$O$201,'Arm results'!$C$2:$C$201,$C21,'Arm results'!$D$2:$D$201,"B0")</f>
        <v/>
      </c>
      <c r="J21" s="17">
        <f>SUMIFS('Arm results'!$O$2:$O$201,'Arm results'!$C$2:$C$201,$C21,'Arm results'!$D$2:$D$201,"A1")</f>
        <v/>
      </c>
      <c r="K21" s="8">
        <f>IF(H21=1,I21/J21,"")</f>
        <v/>
      </c>
      <c r="L21" s="18">
        <f>IF(H21=1,LN(K21),"")</f>
        <v/>
      </c>
      <c r="M21" s="19">
        <f>IF(H21=1,(I21-J21)/I21,"")</f>
        <v/>
      </c>
      <c r="N21" s="20">
        <f>IF(H21=1,(I21-SUMIFS('Arm results'!$X$2:$X$201,'Arm results'!$C$2:$C$201,$C21,'Arm results'!$D$2:$D$201,"B0"))/(J21-SUMIFS('Arm results'!$X$2:$X$201,'Arm results'!$C$2:$C$201,$C21,'Arm results'!$D$2:$D$201,"A1")),"")</f>
        <v/>
      </c>
      <c r="O21" s="21" t="n">
        <v>2.481380299956072</v>
      </c>
      <c r="P21" s="6" t="n">
        <v>1</v>
      </c>
      <c r="Q21" s="8">
        <f>IF(H21=1,(I21+O21)/(J21+O21),"")</f>
        <v/>
      </c>
      <c r="R21" s="18">
        <f>IF(H21=1,LN(Q21),"")</f>
        <v/>
      </c>
      <c r="S21" s="22">
        <f>SUMIFS('Arm results'!$AI$2:$AI$201,'Arm results'!$C$2:$C$201,$C21,'Arm results'!$D$2:$D$201,"B0")</f>
        <v/>
      </c>
      <c r="T21" s="22">
        <f>SUMIFS('Arm results'!$AI$2:$AI$201,'Arm results'!$C$2:$C$201,$C21,'Arm results'!$D$2:$D$201,"A1")</f>
        <v/>
      </c>
      <c r="U21" s="8">
        <f>IF(H21=1,T21/S21,"")</f>
        <v/>
      </c>
      <c r="V21" s="23">
        <f>SUMIFS('Arm results'!$AJ$2:$AJ$201,'Arm results'!$C$2:$C$201,$C21,'Arm results'!$D$2:$D$201,"B0")</f>
        <v/>
      </c>
      <c r="W21" s="23">
        <f>SUMIFS('Arm results'!$AJ$2:$AJ$201,'Arm results'!$C$2:$C$201,$C21,'Arm results'!$D$2:$D$201,"A1")</f>
        <v/>
      </c>
      <c r="X21" s="5">
        <f>IF(V21&lt;&gt;W21,1,0)</f>
        <v/>
      </c>
    </row>
    <row r="22">
      <c r="A22" s="5" t="n">
        <v>1</v>
      </c>
      <c r="B22" s="5" t="n">
        <v>21</v>
      </c>
      <c r="C22" s="5" t="inlineStr">
        <is>
          <t>easy1_47</t>
        </is>
      </c>
      <c r="D22" s="5" t="inlineStr">
        <is>
          <t>easy1</t>
        </is>
      </c>
      <c r="E22" s="5" t="inlineStr">
        <is>
          <t>B0</t>
        </is>
      </c>
      <c r="F22" s="5" t="inlineStr">
        <is>
          <t>SUCCEEDED</t>
        </is>
      </c>
      <c r="G22" s="5" t="inlineStr">
        <is>
          <t>SUCCEEDED</t>
        </is>
      </c>
      <c r="H22" s="5">
        <f>IF(AND(F22="SUCCEEDED",G22="SUCCEEDED"),1,0)</f>
        <v/>
      </c>
      <c r="I22" s="17">
        <f>SUMIFS('Arm results'!$O$2:$O$201,'Arm results'!$C$2:$C$201,$C22,'Arm results'!$D$2:$D$201,"B0")</f>
        <v/>
      </c>
      <c r="J22" s="17">
        <f>SUMIFS('Arm results'!$O$2:$O$201,'Arm results'!$C$2:$C$201,$C22,'Arm results'!$D$2:$D$201,"A1")</f>
        <v/>
      </c>
      <c r="K22" s="8">
        <f>IF(H22=1,I22/J22,"")</f>
        <v/>
      </c>
      <c r="L22" s="18">
        <f>IF(H22=1,LN(K22),"")</f>
        <v/>
      </c>
      <c r="M22" s="19">
        <f>IF(H22=1,(I22-J22)/I22,"")</f>
        <v/>
      </c>
      <c r="N22" s="20">
        <f>IF(H22=1,(I22-SUMIFS('Arm results'!$X$2:$X$201,'Arm results'!$C$2:$C$201,$C22,'Arm results'!$D$2:$D$201,"B0"))/(J22-SUMIFS('Arm results'!$X$2:$X$201,'Arm results'!$C$2:$C$201,$C22,'Arm results'!$D$2:$D$201,"A1")),"")</f>
        <v/>
      </c>
      <c r="O22" s="21" t="n">
        <v>2.141997100028675</v>
      </c>
      <c r="P22" s="6" t="n">
        <v>1</v>
      </c>
      <c r="Q22" s="8">
        <f>IF(H22=1,(I22+O22)/(J22+O22),"")</f>
        <v/>
      </c>
      <c r="R22" s="18">
        <f>IF(H22=1,LN(Q22),"")</f>
        <v/>
      </c>
      <c r="S22" s="22">
        <f>SUMIFS('Arm results'!$AI$2:$AI$201,'Arm results'!$C$2:$C$201,$C22,'Arm results'!$D$2:$D$201,"B0")</f>
        <v/>
      </c>
      <c r="T22" s="22">
        <f>SUMIFS('Arm results'!$AI$2:$AI$201,'Arm results'!$C$2:$C$201,$C22,'Arm results'!$D$2:$D$201,"A1")</f>
        <v/>
      </c>
      <c r="U22" s="8">
        <f>IF(H22=1,T22/S22,"")</f>
        <v/>
      </c>
      <c r="V22" s="23">
        <f>SUMIFS('Arm results'!$AJ$2:$AJ$201,'Arm results'!$C$2:$C$201,$C22,'Arm results'!$D$2:$D$201,"B0")</f>
        <v/>
      </c>
      <c r="W22" s="23">
        <f>SUMIFS('Arm results'!$AJ$2:$AJ$201,'Arm results'!$C$2:$C$201,$C22,'Arm results'!$D$2:$D$201,"A1")</f>
        <v/>
      </c>
      <c r="X22" s="5">
        <f>IF(V22&lt;&gt;W22,1,0)</f>
        <v/>
      </c>
    </row>
    <row r="23">
      <c r="A23" s="5" t="n">
        <v>1</v>
      </c>
      <c r="B23" s="5" t="n">
        <v>22</v>
      </c>
      <c r="C23" s="5" t="inlineStr">
        <is>
          <t>med2_19</t>
        </is>
      </c>
      <c r="D23" s="5" t="inlineStr">
        <is>
          <t>med2</t>
        </is>
      </c>
      <c r="E23" s="5" t="inlineStr">
        <is>
          <t>A1</t>
        </is>
      </c>
      <c r="F23" s="5" t="inlineStr">
        <is>
          <t>SUCCEEDED</t>
        </is>
      </c>
      <c r="G23" s="5" t="inlineStr">
        <is>
          <t>SUCCEEDED</t>
        </is>
      </c>
      <c r="H23" s="5">
        <f>IF(AND(F23="SUCCEEDED",G23="SUCCEEDED"),1,0)</f>
        <v/>
      </c>
      <c r="I23" s="17">
        <f>SUMIFS('Arm results'!$O$2:$O$201,'Arm results'!$C$2:$C$201,$C23,'Arm results'!$D$2:$D$201,"B0")</f>
        <v/>
      </c>
      <c r="J23" s="17">
        <f>SUMIFS('Arm results'!$O$2:$O$201,'Arm results'!$C$2:$C$201,$C23,'Arm results'!$D$2:$D$201,"A1")</f>
        <v/>
      </c>
      <c r="K23" s="8">
        <f>IF(H23=1,I23/J23,"")</f>
        <v/>
      </c>
      <c r="L23" s="18">
        <f>IF(H23=1,LN(K23),"")</f>
        <v/>
      </c>
      <c r="M23" s="19">
        <f>IF(H23=1,(I23-J23)/I23,"")</f>
        <v/>
      </c>
      <c r="N23" s="20">
        <f>IF(H23=1,(I23-SUMIFS('Arm results'!$X$2:$X$201,'Arm results'!$C$2:$C$201,$C23,'Arm results'!$D$2:$D$201,"B0"))/(J23-SUMIFS('Arm results'!$X$2:$X$201,'Arm results'!$C$2:$C$201,$C23,'Arm results'!$D$2:$D$201,"A1")),"")</f>
        <v/>
      </c>
      <c r="O23" s="21" t="n">
        <v>1.957146700005978</v>
      </c>
      <c r="P23" s="6" t="n">
        <v>1</v>
      </c>
      <c r="Q23" s="8">
        <f>IF(H23=1,(I23+O23)/(J23+O23),"")</f>
        <v/>
      </c>
      <c r="R23" s="18">
        <f>IF(H23=1,LN(Q23),"")</f>
        <v/>
      </c>
      <c r="S23" s="22">
        <f>SUMIFS('Arm results'!$AI$2:$AI$201,'Arm results'!$C$2:$C$201,$C23,'Arm results'!$D$2:$D$201,"B0")</f>
        <v/>
      </c>
      <c r="T23" s="22">
        <f>SUMIFS('Arm results'!$AI$2:$AI$201,'Arm results'!$C$2:$C$201,$C23,'Arm results'!$D$2:$D$201,"A1")</f>
        <v/>
      </c>
      <c r="U23" s="8">
        <f>IF(H23=1,T23/S23,"")</f>
        <v/>
      </c>
      <c r="V23" s="23">
        <f>SUMIFS('Arm results'!$AJ$2:$AJ$201,'Arm results'!$C$2:$C$201,$C23,'Arm results'!$D$2:$D$201,"B0")</f>
        <v/>
      </c>
      <c r="W23" s="23">
        <f>SUMIFS('Arm results'!$AJ$2:$AJ$201,'Arm results'!$C$2:$C$201,$C23,'Arm results'!$D$2:$D$201,"A1")</f>
        <v/>
      </c>
      <c r="X23" s="5">
        <f>IF(V23&lt;&gt;W23,1,0)</f>
        <v/>
      </c>
    </row>
    <row r="24">
      <c r="A24" s="5" t="n">
        <v>1</v>
      </c>
      <c r="B24" s="5" t="n">
        <v>23</v>
      </c>
      <c r="C24" s="5" t="inlineStr">
        <is>
          <t>med3_5</t>
        </is>
      </c>
      <c r="D24" s="5" t="inlineStr">
        <is>
          <t>med3</t>
        </is>
      </c>
      <c r="E24" s="5" t="inlineStr">
        <is>
          <t>B0</t>
        </is>
      </c>
      <c r="F24" s="5" t="inlineStr">
        <is>
          <t>SUCCEEDED</t>
        </is>
      </c>
      <c r="G24" s="5" t="inlineStr">
        <is>
          <t>SUCCEEDED</t>
        </is>
      </c>
      <c r="H24" s="5">
        <f>IF(AND(F24="SUCCEEDED",G24="SUCCEEDED"),1,0)</f>
        <v/>
      </c>
      <c r="I24" s="17">
        <f>SUMIFS('Arm results'!$O$2:$O$201,'Arm results'!$C$2:$C$201,$C24,'Arm results'!$D$2:$D$201,"B0")</f>
        <v/>
      </c>
      <c r="J24" s="17">
        <f>SUMIFS('Arm results'!$O$2:$O$201,'Arm results'!$C$2:$C$201,$C24,'Arm results'!$D$2:$D$201,"A1")</f>
        <v/>
      </c>
      <c r="K24" s="8">
        <f>IF(H24=1,I24/J24,"")</f>
        <v/>
      </c>
      <c r="L24" s="18">
        <f>IF(H24=1,LN(K24),"")</f>
        <v/>
      </c>
      <c r="M24" s="19">
        <f>IF(H24=1,(I24-J24)/I24,"")</f>
        <v/>
      </c>
      <c r="N24" s="20">
        <f>IF(H24=1,(I24-SUMIFS('Arm results'!$X$2:$X$201,'Arm results'!$C$2:$C$201,$C24,'Arm results'!$D$2:$D$201,"B0"))/(J24-SUMIFS('Arm results'!$X$2:$X$201,'Arm results'!$C$2:$C$201,$C24,'Arm results'!$D$2:$D$201,"A1")),"")</f>
        <v/>
      </c>
      <c r="O24" s="21" t="n">
        <v>2.436975100019481</v>
      </c>
      <c r="P24" s="6" t="n">
        <v>1</v>
      </c>
      <c r="Q24" s="8">
        <f>IF(H24=1,(I24+O24)/(J24+O24),"")</f>
        <v/>
      </c>
      <c r="R24" s="18">
        <f>IF(H24=1,LN(Q24),"")</f>
        <v/>
      </c>
      <c r="S24" s="22">
        <f>SUMIFS('Arm results'!$AI$2:$AI$201,'Arm results'!$C$2:$C$201,$C24,'Arm results'!$D$2:$D$201,"B0")</f>
        <v/>
      </c>
      <c r="T24" s="22">
        <f>SUMIFS('Arm results'!$AI$2:$AI$201,'Arm results'!$C$2:$C$201,$C24,'Arm results'!$D$2:$D$201,"A1")</f>
        <v/>
      </c>
      <c r="U24" s="8">
        <f>IF(H24=1,T24/S24,"")</f>
        <v/>
      </c>
      <c r="V24" s="23">
        <f>SUMIFS('Arm results'!$AJ$2:$AJ$201,'Arm results'!$C$2:$C$201,$C24,'Arm results'!$D$2:$D$201,"B0")</f>
        <v/>
      </c>
      <c r="W24" s="23">
        <f>SUMIFS('Arm results'!$AJ$2:$AJ$201,'Arm results'!$C$2:$C$201,$C24,'Arm results'!$D$2:$D$201,"A1")</f>
        <v/>
      </c>
      <c r="X24" s="5">
        <f>IF(V24&lt;&gt;W24,1,0)</f>
        <v/>
      </c>
    </row>
    <row r="25">
      <c r="A25" s="5" t="n">
        <v>1</v>
      </c>
      <c r="B25" s="5" t="n">
        <v>24</v>
      </c>
      <c r="C25" s="5" t="inlineStr">
        <is>
          <t>easy1_6</t>
        </is>
      </c>
      <c r="D25" s="5" t="inlineStr">
        <is>
          <t>easy1</t>
        </is>
      </c>
      <c r="E25" s="5" t="inlineStr">
        <is>
          <t>A1</t>
        </is>
      </c>
      <c r="F25" s="5" t="inlineStr">
        <is>
          <t>SUCCEEDED</t>
        </is>
      </c>
      <c r="G25" s="5" t="inlineStr">
        <is>
          <t>SUCCEEDED</t>
        </is>
      </c>
      <c r="H25" s="5">
        <f>IF(AND(F25="SUCCEEDED",G25="SUCCEEDED"),1,0)</f>
        <v/>
      </c>
      <c r="I25" s="17">
        <f>SUMIFS('Arm results'!$O$2:$O$201,'Arm results'!$C$2:$C$201,$C25,'Arm results'!$D$2:$D$201,"B0")</f>
        <v/>
      </c>
      <c r="J25" s="17">
        <f>SUMIFS('Arm results'!$O$2:$O$201,'Arm results'!$C$2:$C$201,$C25,'Arm results'!$D$2:$D$201,"A1")</f>
        <v/>
      </c>
      <c r="K25" s="8">
        <f>IF(H25=1,I25/J25,"")</f>
        <v/>
      </c>
      <c r="L25" s="18">
        <f>IF(H25=1,LN(K25),"")</f>
        <v/>
      </c>
      <c r="M25" s="19">
        <f>IF(H25=1,(I25-J25)/I25,"")</f>
        <v/>
      </c>
      <c r="N25" s="20">
        <f>IF(H25=1,(I25-SUMIFS('Arm results'!$X$2:$X$201,'Arm results'!$C$2:$C$201,$C25,'Arm results'!$D$2:$D$201,"B0"))/(J25-SUMIFS('Arm results'!$X$2:$X$201,'Arm results'!$C$2:$C$201,$C25,'Arm results'!$D$2:$D$201,"A1")),"")</f>
        <v/>
      </c>
      <c r="O25" s="21" t="n">
        <v>3.537880700023379</v>
      </c>
      <c r="P25" s="6" t="n">
        <v>1</v>
      </c>
      <c r="Q25" s="8">
        <f>IF(H25=1,(I25+O25)/(J25+O25),"")</f>
        <v/>
      </c>
      <c r="R25" s="18">
        <f>IF(H25=1,LN(Q25),"")</f>
        <v/>
      </c>
      <c r="S25" s="22">
        <f>SUMIFS('Arm results'!$AI$2:$AI$201,'Arm results'!$C$2:$C$201,$C25,'Arm results'!$D$2:$D$201,"B0")</f>
        <v/>
      </c>
      <c r="T25" s="22">
        <f>SUMIFS('Arm results'!$AI$2:$AI$201,'Arm results'!$C$2:$C$201,$C25,'Arm results'!$D$2:$D$201,"A1")</f>
        <v/>
      </c>
      <c r="U25" s="8">
        <f>IF(H25=1,T25/S25,"")</f>
        <v/>
      </c>
      <c r="V25" s="23">
        <f>SUMIFS('Arm results'!$AJ$2:$AJ$201,'Arm results'!$C$2:$C$201,$C25,'Arm results'!$D$2:$D$201,"B0")</f>
        <v/>
      </c>
      <c r="W25" s="23">
        <f>SUMIFS('Arm results'!$AJ$2:$AJ$201,'Arm results'!$C$2:$C$201,$C25,'Arm results'!$D$2:$D$201,"A1")</f>
        <v/>
      </c>
      <c r="X25" s="5">
        <f>IF(V25&lt;&gt;W25,1,0)</f>
        <v/>
      </c>
    </row>
    <row r="26">
      <c r="A26" s="5" t="n">
        <v>1</v>
      </c>
      <c r="B26" s="5" t="n">
        <v>25</v>
      </c>
      <c r="C26" s="5" t="inlineStr">
        <is>
          <t>hard3_13</t>
        </is>
      </c>
      <c r="D26" s="5" t="inlineStr">
        <is>
          <t>hard3</t>
        </is>
      </c>
      <c r="E26" s="5" t="inlineStr">
        <is>
          <t>B0</t>
        </is>
      </c>
      <c r="F26" s="5" t="inlineStr">
        <is>
          <t>SUCCEEDED</t>
        </is>
      </c>
      <c r="G26" s="5" t="inlineStr">
        <is>
          <t>SUCCEEDED</t>
        </is>
      </c>
      <c r="H26" s="5">
        <f>IF(AND(F26="SUCCEEDED",G26="SUCCEEDED"),1,0)</f>
        <v/>
      </c>
      <c r="I26" s="17">
        <f>SUMIFS('Arm results'!$O$2:$O$201,'Arm results'!$C$2:$C$201,$C26,'Arm results'!$D$2:$D$201,"B0")</f>
        <v/>
      </c>
      <c r="J26" s="17">
        <f>SUMIFS('Arm results'!$O$2:$O$201,'Arm results'!$C$2:$C$201,$C26,'Arm results'!$D$2:$D$201,"A1")</f>
        <v/>
      </c>
      <c r="K26" s="8">
        <f>IF(H26=1,I26/J26,"")</f>
        <v/>
      </c>
      <c r="L26" s="18">
        <f>IF(H26=1,LN(K26),"")</f>
        <v/>
      </c>
      <c r="M26" s="19">
        <f>IF(H26=1,(I26-J26)/I26,"")</f>
        <v/>
      </c>
      <c r="N26" s="20">
        <f>IF(H26=1,(I26-SUMIFS('Arm results'!$X$2:$X$201,'Arm results'!$C$2:$C$201,$C26,'Arm results'!$D$2:$D$201,"B0"))/(J26-SUMIFS('Arm results'!$X$2:$X$201,'Arm results'!$C$2:$C$201,$C26,'Arm results'!$D$2:$D$201,"A1")),"")</f>
        <v/>
      </c>
      <c r="O26" s="21" t="n">
        <v>2.908817600051407</v>
      </c>
      <c r="P26" s="6" t="n">
        <v>1</v>
      </c>
      <c r="Q26" s="8">
        <f>IF(H26=1,(I26+O26)/(J26+O26),"")</f>
        <v/>
      </c>
      <c r="R26" s="18">
        <f>IF(H26=1,LN(Q26),"")</f>
        <v/>
      </c>
      <c r="S26" s="22">
        <f>SUMIFS('Arm results'!$AI$2:$AI$201,'Arm results'!$C$2:$C$201,$C26,'Arm results'!$D$2:$D$201,"B0")</f>
        <v/>
      </c>
      <c r="T26" s="22">
        <f>SUMIFS('Arm results'!$AI$2:$AI$201,'Arm results'!$C$2:$C$201,$C26,'Arm results'!$D$2:$D$201,"A1")</f>
        <v/>
      </c>
      <c r="U26" s="8">
        <f>IF(H26=1,T26/S26,"")</f>
        <v/>
      </c>
      <c r="V26" s="23">
        <f>SUMIFS('Arm results'!$AJ$2:$AJ$201,'Arm results'!$C$2:$C$201,$C26,'Arm results'!$D$2:$D$201,"B0")</f>
        <v/>
      </c>
      <c r="W26" s="23">
        <f>SUMIFS('Arm results'!$AJ$2:$AJ$201,'Arm results'!$C$2:$C$201,$C26,'Arm results'!$D$2:$D$201,"A1")</f>
        <v/>
      </c>
      <c r="X26" s="5">
        <f>IF(V26&lt;&gt;W26,1,0)</f>
        <v/>
      </c>
    </row>
    <row r="27">
      <c r="A27" s="5" t="n">
        <v>1</v>
      </c>
      <c r="B27" s="5" t="n">
        <v>26</v>
      </c>
      <c r="C27" s="5" t="inlineStr">
        <is>
          <t>hard2_28</t>
        </is>
      </c>
      <c r="D27" s="5" t="inlineStr">
        <is>
          <t>hard2</t>
        </is>
      </c>
      <c r="E27" s="5" t="inlineStr">
        <is>
          <t>A1</t>
        </is>
      </c>
      <c r="F27" s="5" t="inlineStr">
        <is>
          <t>SUCCEEDED</t>
        </is>
      </c>
      <c r="G27" s="5" t="inlineStr">
        <is>
          <t>SUCCEEDED</t>
        </is>
      </c>
      <c r="H27" s="5">
        <f>IF(AND(F27="SUCCEEDED",G27="SUCCEEDED"),1,0)</f>
        <v/>
      </c>
      <c r="I27" s="17">
        <f>SUMIFS('Arm results'!$O$2:$O$201,'Arm results'!$C$2:$C$201,$C27,'Arm results'!$D$2:$D$201,"B0")</f>
        <v/>
      </c>
      <c r="J27" s="17">
        <f>SUMIFS('Arm results'!$O$2:$O$201,'Arm results'!$C$2:$C$201,$C27,'Arm results'!$D$2:$D$201,"A1")</f>
        <v/>
      </c>
      <c r="K27" s="8">
        <f>IF(H27=1,I27/J27,"")</f>
        <v/>
      </c>
      <c r="L27" s="18">
        <f>IF(H27=1,LN(K27),"")</f>
        <v/>
      </c>
      <c r="M27" s="19">
        <f>IF(H27=1,(I27-J27)/I27,"")</f>
        <v/>
      </c>
      <c r="N27" s="20">
        <f>IF(H27=1,(I27-SUMIFS('Arm results'!$X$2:$X$201,'Arm results'!$C$2:$C$201,$C27,'Arm results'!$D$2:$D$201,"B0"))/(J27-SUMIFS('Arm results'!$X$2:$X$201,'Arm results'!$C$2:$C$201,$C27,'Arm results'!$D$2:$D$201,"A1")),"")</f>
        <v/>
      </c>
      <c r="O27" s="21" t="n">
        <v>2.573097300017253</v>
      </c>
      <c r="P27" s="6" t="n">
        <v>0</v>
      </c>
      <c r="Q27" s="8">
        <f>IF(H27=1,(I27+O27)/(J27+O27),"")</f>
        <v/>
      </c>
      <c r="R27" s="18">
        <f>IF(H27=1,LN(Q27),"")</f>
        <v/>
      </c>
      <c r="S27" s="22">
        <f>SUMIFS('Arm results'!$AI$2:$AI$201,'Arm results'!$C$2:$C$201,$C27,'Arm results'!$D$2:$D$201,"B0")</f>
        <v/>
      </c>
      <c r="T27" s="22">
        <f>SUMIFS('Arm results'!$AI$2:$AI$201,'Arm results'!$C$2:$C$201,$C27,'Arm results'!$D$2:$D$201,"A1")</f>
        <v/>
      </c>
      <c r="U27" s="8">
        <f>IF(H27=1,T27/S27,"")</f>
        <v/>
      </c>
      <c r="V27" s="23">
        <f>SUMIFS('Arm results'!$AJ$2:$AJ$201,'Arm results'!$C$2:$C$201,$C27,'Arm results'!$D$2:$D$201,"B0")</f>
        <v/>
      </c>
      <c r="W27" s="23">
        <f>SUMIFS('Arm results'!$AJ$2:$AJ$201,'Arm results'!$C$2:$C$201,$C27,'Arm results'!$D$2:$D$201,"A1")</f>
        <v/>
      </c>
      <c r="X27" s="5">
        <f>IF(V27&lt;&gt;W27,1,0)</f>
        <v/>
      </c>
    </row>
    <row r="28">
      <c r="A28" s="5" t="n">
        <v>1</v>
      </c>
      <c r="B28" s="5" t="n">
        <v>27</v>
      </c>
      <c r="C28" s="5" t="inlineStr">
        <is>
          <t>protein_1PGA_query_3_mask_4</t>
        </is>
      </c>
      <c r="D28" s="5" t="inlineStr">
        <is>
          <t>hard4</t>
        </is>
      </c>
      <c r="E28" s="5" t="inlineStr">
        <is>
          <t>B0</t>
        </is>
      </c>
      <c r="F28" s="5" t="inlineStr">
        <is>
          <t>SUCCEEDED</t>
        </is>
      </c>
      <c r="G28" s="5" t="inlineStr">
        <is>
          <t>SUCCEEDED</t>
        </is>
      </c>
      <c r="H28" s="5">
        <f>IF(AND(F28="SUCCEEDED",G28="SUCCEEDED"),1,0)</f>
        <v/>
      </c>
      <c r="I28" s="17">
        <f>SUMIFS('Arm results'!$O$2:$O$201,'Arm results'!$C$2:$C$201,$C28,'Arm results'!$D$2:$D$201,"B0")</f>
        <v/>
      </c>
      <c r="J28" s="17">
        <f>SUMIFS('Arm results'!$O$2:$O$201,'Arm results'!$C$2:$C$201,$C28,'Arm results'!$D$2:$D$201,"A1")</f>
        <v/>
      </c>
      <c r="K28" s="8">
        <f>IF(H28=1,I28/J28,"")</f>
        <v/>
      </c>
      <c r="L28" s="18">
        <f>IF(H28=1,LN(K28),"")</f>
        <v/>
      </c>
      <c r="M28" s="19">
        <f>IF(H28=1,(I28-J28)/I28,"")</f>
        <v/>
      </c>
      <c r="N28" s="20">
        <f>IF(H28=1,(I28-SUMIFS('Arm results'!$X$2:$X$201,'Arm results'!$C$2:$C$201,$C28,'Arm results'!$D$2:$D$201,"B0"))/(J28-SUMIFS('Arm results'!$X$2:$X$201,'Arm results'!$C$2:$C$201,$C28,'Arm results'!$D$2:$D$201,"A1")),"")</f>
        <v/>
      </c>
      <c r="O28" s="21" t="n">
        <v>2.492218500003219</v>
      </c>
      <c r="P28" s="6" t="n">
        <v>0</v>
      </c>
      <c r="Q28" s="8">
        <f>IF(H28=1,(I28+O28)/(J28+O28),"")</f>
        <v/>
      </c>
      <c r="R28" s="18">
        <f>IF(H28=1,LN(Q28),"")</f>
        <v/>
      </c>
      <c r="S28" s="22">
        <f>SUMIFS('Arm results'!$AI$2:$AI$201,'Arm results'!$C$2:$C$201,$C28,'Arm results'!$D$2:$D$201,"B0")</f>
        <v/>
      </c>
      <c r="T28" s="22">
        <f>SUMIFS('Arm results'!$AI$2:$AI$201,'Arm results'!$C$2:$C$201,$C28,'Arm results'!$D$2:$D$201,"A1")</f>
        <v/>
      </c>
      <c r="U28" s="8">
        <f>IF(H28=1,T28/S28,"")</f>
        <v/>
      </c>
      <c r="V28" s="23">
        <f>SUMIFS('Arm results'!$AJ$2:$AJ$201,'Arm results'!$C$2:$C$201,$C28,'Arm results'!$D$2:$D$201,"B0")</f>
        <v/>
      </c>
      <c r="W28" s="23">
        <f>SUMIFS('Arm results'!$AJ$2:$AJ$201,'Arm results'!$C$2:$C$201,$C28,'Arm results'!$D$2:$D$201,"A1")</f>
        <v/>
      </c>
      <c r="X28" s="5">
        <f>IF(V28&lt;&gt;W28,1,0)</f>
        <v/>
      </c>
    </row>
    <row r="29">
      <c r="A29" s="5" t="n">
        <v>1</v>
      </c>
      <c r="B29" s="5" t="n">
        <v>28</v>
      </c>
      <c r="C29" s="5" t="inlineStr">
        <is>
          <t>hard2_8</t>
        </is>
      </c>
      <c r="D29" s="5" t="inlineStr">
        <is>
          <t>hard2</t>
        </is>
      </c>
      <c r="E29" s="5" t="inlineStr">
        <is>
          <t>A1</t>
        </is>
      </c>
      <c r="F29" s="5" t="inlineStr">
        <is>
          <t>SUCCEEDED</t>
        </is>
      </c>
      <c r="G29" s="5" t="inlineStr">
        <is>
          <t>SUCCEEDED</t>
        </is>
      </c>
      <c r="H29" s="5">
        <f>IF(AND(F29="SUCCEEDED",G29="SUCCEEDED"),1,0)</f>
        <v/>
      </c>
      <c r="I29" s="17">
        <f>SUMIFS('Arm results'!$O$2:$O$201,'Arm results'!$C$2:$C$201,$C29,'Arm results'!$D$2:$D$201,"B0")</f>
        <v/>
      </c>
      <c r="J29" s="17">
        <f>SUMIFS('Arm results'!$O$2:$O$201,'Arm results'!$C$2:$C$201,$C29,'Arm results'!$D$2:$D$201,"A1")</f>
        <v/>
      </c>
      <c r="K29" s="8">
        <f>IF(H29=1,I29/J29,"")</f>
        <v/>
      </c>
      <c r="L29" s="18">
        <f>IF(H29=1,LN(K29),"")</f>
        <v/>
      </c>
      <c r="M29" s="19">
        <f>IF(H29=1,(I29-J29)/I29,"")</f>
        <v/>
      </c>
      <c r="N29" s="20">
        <f>IF(H29=1,(I29-SUMIFS('Arm results'!$X$2:$X$201,'Arm results'!$C$2:$C$201,$C29,'Arm results'!$D$2:$D$201,"B0"))/(J29-SUMIFS('Arm results'!$X$2:$X$201,'Arm results'!$C$2:$C$201,$C29,'Arm results'!$D$2:$D$201,"A1")),"")</f>
        <v/>
      </c>
      <c r="O29" s="21" t="n">
        <v>2.78631639998639</v>
      </c>
      <c r="P29" s="6" t="n">
        <v>0</v>
      </c>
      <c r="Q29" s="8">
        <f>IF(H29=1,(I29+O29)/(J29+O29),"")</f>
        <v/>
      </c>
      <c r="R29" s="18">
        <f>IF(H29=1,LN(Q29),"")</f>
        <v/>
      </c>
      <c r="S29" s="22">
        <f>SUMIFS('Arm results'!$AI$2:$AI$201,'Arm results'!$C$2:$C$201,$C29,'Arm results'!$D$2:$D$201,"B0")</f>
        <v/>
      </c>
      <c r="T29" s="22">
        <f>SUMIFS('Arm results'!$AI$2:$AI$201,'Arm results'!$C$2:$C$201,$C29,'Arm results'!$D$2:$D$201,"A1")</f>
        <v/>
      </c>
      <c r="U29" s="8">
        <f>IF(H29=1,T29/S29,"")</f>
        <v/>
      </c>
      <c r="V29" s="23">
        <f>SUMIFS('Arm results'!$AJ$2:$AJ$201,'Arm results'!$C$2:$C$201,$C29,'Arm results'!$D$2:$D$201,"B0")</f>
        <v/>
      </c>
      <c r="W29" s="23">
        <f>SUMIFS('Arm results'!$AJ$2:$AJ$201,'Arm results'!$C$2:$C$201,$C29,'Arm results'!$D$2:$D$201,"A1")</f>
        <v/>
      </c>
      <c r="X29" s="5">
        <f>IF(V29&lt;&gt;W29,1,0)</f>
        <v/>
      </c>
    </row>
    <row r="30">
      <c r="A30" s="5" t="n">
        <v>1</v>
      </c>
      <c r="B30" s="5" t="n">
        <v>29</v>
      </c>
      <c r="C30" s="5" t="inlineStr">
        <is>
          <t>hard1_29</t>
        </is>
      </c>
      <c r="D30" s="5" t="inlineStr">
        <is>
          <t>hard1</t>
        </is>
      </c>
      <c r="E30" s="5" t="inlineStr">
        <is>
          <t>B0</t>
        </is>
      </c>
      <c r="F30" s="5" t="inlineStr">
        <is>
          <t>SUCCEEDED</t>
        </is>
      </c>
      <c r="G30" s="5" t="inlineStr">
        <is>
          <t>SUCCEEDED</t>
        </is>
      </c>
      <c r="H30" s="5">
        <f>IF(AND(F30="SUCCEEDED",G30="SUCCEEDED"),1,0)</f>
        <v/>
      </c>
      <c r="I30" s="17">
        <f>SUMIFS('Arm results'!$O$2:$O$201,'Arm results'!$C$2:$C$201,$C30,'Arm results'!$D$2:$D$201,"B0")</f>
        <v/>
      </c>
      <c r="J30" s="17">
        <f>SUMIFS('Arm results'!$O$2:$O$201,'Arm results'!$C$2:$C$201,$C30,'Arm results'!$D$2:$D$201,"A1")</f>
        <v/>
      </c>
      <c r="K30" s="8">
        <f>IF(H30=1,I30/J30,"")</f>
        <v/>
      </c>
      <c r="L30" s="18">
        <f>IF(H30=1,LN(K30),"")</f>
        <v/>
      </c>
      <c r="M30" s="19">
        <f>IF(H30=1,(I30-J30)/I30,"")</f>
        <v/>
      </c>
      <c r="N30" s="20">
        <f>IF(H30=1,(I30-SUMIFS('Arm results'!$X$2:$X$201,'Arm results'!$C$2:$C$201,$C30,'Arm results'!$D$2:$D$201,"B0"))/(J30-SUMIFS('Arm results'!$X$2:$X$201,'Arm results'!$C$2:$C$201,$C30,'Arm results'!$D$2:$D$201,"A1")),"")</f>
        <v/>
      </c>
      <c r="O30" s="21" t="n">
        <v>2.665379200014286</v>
      </c>
      <c r="P30" s="6" t="n">
        <v>1</v>
      </c>
      <c r="Q30" s="8">
        <f>IF(H30=1,(I30+O30)/(J30+O30),"")</f>
        <v/>
      </c>
      <c r="R30" s="18">
        <f>IF(H30=1,LN(Q30),"")</f>
        <v/>
      </c>
      <c r="S30" s="22">
        <f>SUMIFS('Arm results'!$AI$2:$AI$201,'Arm results'!$C$2:$C$201,$C30,'Arm results'!$D$2:$D$201,"B0")</f>
        <v/>
      </c>
      <c r="T30" s="22">
        <f>SUMIFS('Arm results'!$AI$2:$AI$201,'Arm results'!$C$2:$C$201,$C30,'Arm results'!$D$2:$D$201,"A1")</f>
        <v/>
      </c>
      <c r="U30" s="8">
        <f>IF(H30=1,T30/S30,"")</f>
        <v/>
      </c>
      <c r="V30" s="23">
        <f>SUMIFS('Arm results'!$AJ$2:$AJ$201,'Arm results'!$C$2:$C$201,$C30,'Arm results'!$D$2:$D$201,"B0")</f>
        <v/>
      </c>
      <c r="W30" s="23">
        <f>SUMIFS('Arm results'!$AJ$2:$AJ$201,'Arm results'!$C$2:$C$201,$C30,'Arm results'!$D$2:$D$201,"A1")</f>
        <v/>
      </c>
      <c r="X30" s="5">
        <f>IF(V30&lt;&gt;W30,1,0)</f>
        <v/>
      </c>
    </row>
    <row r="31">
      <c r="A31" s="5" t="n">
        <v>1</v>
      </c>
      <c r="B31" s="5" t="n">
        <v>30</v>
      </c>
      <c r="C31" s="5" t="inlineStr">
        <is>
          <t>easy2_47</t>
        </is>
      </c>
      <c r="D31" s="5" t="inlineStr">
        <is>
          <t>easy2</t>
        </is>
      </c>
      <c r="E31" s="5" t="inlineStr">
        <is>
          <t>A1</t>
        </is>
      </c>
      <c r="F31" s="5" t="inlineStr">
        <is>
          <t>SUCCEEDED</t>
        </is>
      </c>
      <c r="G31" s="5" t="inlineStr">
        <is>
          <t>SUCCEEDED</t>
        </is>
      </c>
      <c r="H31" s="5">
        <f>IF(AND(F31="SUCCEEDED",G31="SUCCEEDED"),1,0)</f>
        <v/>
      </c>
      <c r="I31" s="17">
        <f>SUMIFS('Arm results'!$O$2:$O$201,'Arm results'!$C$2:$C$201,$C31,'Arm results'!$D$2:$D$201,"B0")</f>
        <v/>
      </c>
      <c r="J31" s="17">
        <f>SUMIFS('Arm results'!$O$2:$O$201,'Arm results'!$C$2:$C$201,$C31,'Arm results'!$D$2:$D$201,"A1")</f>
        <v/>
      </c>
      <c r="K31" s="8">
        <f>IF(H31=1,I31/J31,"")</f>
        <v/>
      </c>
      <c r="L31" s="18">
        <f>IF(H31=1,LN(K31),"")</f>
        <v/>
      </c>
      <c r="M31" s="19">
        <f>IF(H31=1,(I31-J31)/I31,"")</f>
        <v/>
      </c>
      <c r="N31" s="20">
        <f>IF(H31=1,(I31-SUMIFS('Arm results'!$X$2:$X$201,'Arm results'!$C$2:$C$201,$C31,'Arm results'!$D$2:$D$201,"B0"))/(J31-SUMIFS('Arm results'!$X$2:$X$201,'Arm results'!$C$2:$C$201,$C31,'Arm results'!$D$2:$D$201,"A1")),"")</f>
        <v/>
      </c>
      <c r="O31" s="21" t="n">
        <v>1.541282200021669</v>
      </c>
      <c r="P31" s="6" t="n">
        <v>0</v>
      </c>
      <c r="Q31" s="8">
        <f>IF(H31=1,(I31+O31)/(J31+O31),"")</f>
        <v/>
      </c>
      <c r="R31" s="18">
        <f>IF(H31=1,LN(Q31),"")</f>
        <v/>
      </c>
      <c r="S31" s="22">
        <f>SUMIFS('Arm results'!$AI$2:$AI$201,'Arm results'!$C$2:$C$201,$C31,'Arm results'!$D$2:$D$201,"B0")</f>
        <v/>
      </c>
      <c r="T31" s="22">
        <f>SUMIFS('Arm results'!$AI$2:$AI$201,'Arm results'!$C$2:$C$201,$C31,'Arm results'!$D$2:$D$201,"A1")</f>
        <v/>
      </c>
      <c r="U31" s="8">
        <f>IF(H31=1,T31/S31,"")</f>
        <v/>
      </c>
      <c r="V31" s="23">
        <f>SUMIFS('Arm results'!$AJ$2:$AJ$201,'Arm results'!$C$2:$C$201,$C31,'Arm results'!$D$2:$D$201,"B0")</f>
        <v/>
      </c>
      <c r="W31" s="23">
        <f>SUMIFS('Arm results'!$AJ$2:$AJ$201,'Arm results'!$C$2:$C$201,$C31,'Arm results'!$D$2:$D$201,"A1")</f>
        <v/>
      </c>
      <c r="X31" s="5">
        <f>IF(V31&lt;&gt;W31,1,0)</f>
        <v/>
      </c>
    </row>
    <row r="32">
      <c r="A32" s="5" t="n">
        <v>1</v>
      </c>
      <c r="B32" s="5" t="n">
        <v>31</v>
      </c>
      <c r="C32" s="5" t="inlineStr">
        <is>
          <t>easy2_43</t>
        </is>
      </c>
      <c r="D32" s="5" t="inlineStr">
        <is>
          <t>easy2</t>
        </is>
      </c>
      <c r="E32" s="5" t="inlineStr">
        <is>
          <t>B0</t>
        </is>
      </c>
      <c r="F32" s="5" t="inlineStr">
        <is>
          <t>SUCCEEDED</t>
        </is>
      </c>
      <c r="G32" s="5" t="inlineStr">
        <is>
          <t>SUCCEEDED</t>
        </is>
      </c>
      <c r="H32" s="5">
        <f>IF(AND(F32="SUCCEEDED",G32="SUCCEEDED"),1,0)</f>
        <v/>
      </c>
      <c r="I32" s="17">
        <f>SUMIFS('Arm results'!$O$2:$O$201,'Arm results'!$C$2:$C$201,$C32,'Arm results'!$D$2:$D$201,"B0")</f>
        <v/>
      </c>
      <c r="J32" s="17">
        <f>SUMIFS('Arm results'!$O$2:$O$201,'Arm results'!$C$2:$C$201,$C32,'Arm results'!$D$2:$D$201,"A1")</f>
        <v/>
      </c>
      <c r="K32" s="8">
        <f>IF(H32=1,I32/J32,"")</f>
        <v/>
      </c>
      <c r="L32" s="18">
        <f>IF(H32=1,LN(K32),"")</f>
        <v/>
      </c>
      <c r="M32" s="19">
        <f>IF(H32=1,(I32-J32)/I32,"")</f>
        <v/>
      </c>
      <c r="N32" s="20">
        <f>IF(H32=1,(I32-SUMIFS('Arm results'!$X$2:$X$201,'Arm results'!$C$2:$C$201,$C32,'Arm results'!$D$2:$D$201,"B0"))/(J32-SUMIFS('Arm results'!$X$2:$X$201,'Arm results'!$C$2:$C$201,$C32,'Arm results'!$D$2:$D$201,"A1")),"")</f>
        <v/>
      </c>
      <c r="O32" s="21" t="n">
        <v>2.112873599980958</v>
      </c>
      <c r="P32" s="6" t="n">
        <v>1</v>
      </c>
      <c r="Q32" s="8">
        <f>IF(H32=1,(I32+O32)/(J32+O32),"")</f>
        <v/>
      </c>
      <c r="R32" s="18">
        <f>IF(H32=1,LN(Q32),"")</f>
        <v/>
      </c>
      <c r="S32" s="22">
        <f>SUMIFS('Arm results'!$AI$2:$AI$201,'Arm results'!$C$2:$C$201,$C32,'Arm results'!$D$2:$D$201,"B0")</f>
        <v/>
      </c>
      <c r="T32" s="22">
        <f>SUMIFS('Arm results'!$AI$2:$AI$201,'Arm results'!$C$2:$C$201,$C32,'Arm results'!$D$2:$D$201,"A1")</f>
        <v/>
      </c>
      <c r="U32" s="8">
        <f>IF(H32=1,T32/S32,"")</f>
        <v/>
      </c>
      <c r="V32" s="23">
        <f>SUMIFS('Arm results'!$AJ$2:$AJ$201,'Arm results'!$C$2:$C$201,$C32,'Arm results'!$D$2:$D$201,"B0")</f>
        <v/>
      </c>
      <c r="W32" s="23">
        <f>SUMIFS('Arm results'!$AJ$2:$AJ$201,'Arm results'!$C$2:$C$201,$C32,'Arm results'!$D$2:$D$201,"A1")</f>
        <v/>
      </c>
      <c r="X32" s="5">
        <f>IF(V32&lt;&gt;W32,1,0)</f>
        <v/>
      </c>
    </row>
    <row r="33">
      <c r="A33" s="5" t="n">
        <v>1</v>
      </c>
      <c r="B33" s="5" t="n">
        <v>32</v>
      </c>
      <c r="C33" s="5" t="inlineStr">
        <is>
          <t>hard3_38</t>
        </is>
      </c>
      <c r="D33" s="5" t="inlineStr">
        <is>
          <t>hard3</t>
        </is>
      </c>
      <c r="E33" s="5" t="inlineStr">
        <is>
          <t>A1</t>
        </is>
      </c>
      <c r="F33" s="5" t="inlineStr">
        <is>
          <t>SUCCEEDED</t>
        </is>
      </c>
      <c r="G33" s="5" t="inlineStr">
        <is>
          <t>SUCCEEDED</t>
        </is>
      </c>
      <c r="H33" s="5">
        <f>IF(AND(F33="SUCCEEDED",G33="SUCCEEDED"),1,0)</f>
        <v/>
      </c>
      <c r="I33" s="17">
        <f>SUMIFS('Arm results'!$O$2:$O$201,'Arm results'!$C$2:$C$201,$C33,'Arm results'!$D$2:$D$201,"B0")</f>
        <v/>
      </c>
      <c r="J33" s="17">
        <f>SUMIFS('Arm results'!$O$2:$O$201,'Arm results'!$C$2:$C$201,$C33,'Arm results'!$D$2:$D$201,"A1")</f>
        <v/>
      </c>
      <c r="K33" s="8">
        <f>IF(H33=1,I33/J33,"")</f>
        <v/>
      </c>
      <c r="L33" s="18">
        <f>IF(H33=1,LN(K33),"")</f>
        <v/>
      </c>
      <c r="M33" s="19">
        <f>IF(H33=1,(I33-J33)/I33,"")</f>
        <v/>
      </c>
      <c r="N33" s="20">
        <f>IF(H33=1,(I33-SUMIFS('Arm results'!$X$2:$X$201,'Arm results'!$C$2:$C$201,$C33,'Arm results'!$D$2:$D$201,"B0"))/(J33-SUMIFS('Arm results'!$X$2:$X$201,'Arm results'!$C$2:$C$201,$C33,'Arm results'!$D$2:$D$201,"A1")),"")</f>
        <v/>
      </c>
      <c r="O33" s="21" t="n">
        <v>3.030919099983294</v>
      </c>
      <c r="P33" s="6" t="n">
        <v>1</v>
      </c>
      <c r="Q33" s="8">
        <f>IF(H33=1,(I33+O33)/(J33+O33),"")</f>
        <v/>
      </c>
      <c r="R33" s="18">
        <f>IF(H33=1,LN(Q33),"")</f>
        <v/>
      </c>
      <c r="S33" s="22">
        <f>SUMIFS('Arm results'!$AI$2:$AI$201,'Arm results'!$C$2:$C$201,$C33,'Arm results'!$D$2:$D$201,"B0")</f>
        <v/>
      </c>
      <c r="T33" s="22">
        <f>SUMIFS('Arm results'!$AI$2:$AI$201,'Arm results'!$C$2:$C$201,$C33,'Arm results'!$D$2:$D$201,"A1")</f>
        <v/>
      </c>
      <c r="U33" s="8">
        <f>IF(H33=1,T33/S33,"")</f>
        <v/>
      </c>
      <c r="V33" s="23">
        <f>SUMIFS('Arm results'!$AJ$2:$AJ$201,'Arm results'!$C$2:$C$201,$C33,'Arm results'!$D$2:$D$201,"B0")</f>
        <v/>
      </c>
      <c r="W33" s="23">
        <f>SUMIFS('Arm results'!$AJ$2:$AJ$201,'Arm results'!$C$2:$C$201,$C33,'Arm results'!$D$2:$D$201,"A1")</f>
        <v/>
      </c>
      <c r="X33" s="5">
        <f>IF(V33&lt;&gt;W33,1,0)</f>
        <v/>
      </c>
    </row>
    <row r="34">
      <c r="A34" s="5" t="n">
        <v>1</v>
      </c>
      <c r="B34" s="5" t="n">
        <v>33</v>
      </c>
      <c r="C34" s="5" t="inlineStr">
        <is>
          <t>easy2_23</t>
        </is>
      </c>
      <c r="D34" s="5" t="inlineStr">
        <is>
          <t>easy2</t>
        </is>
      </c>
      <c r="E34" s="5" t="inlineStr">
        <is>
          <t>B0</t>
        </is>
      </c>
      <c r="F34" s="5" t="inlineStr">
        <is>
          <t>SUCCEEDED</t>
        </is>
      </c>
      <c r="G34" s="5" t="inlineStr">
        <is>
          <t>SUCCEEDED</t>
        </is>
      </c>
      <c r="H34" s="5">
        <f>IF(AND(F34="SUCCEEDED",G34="SUCCEEDED"),1,0)</f>
        <v/>
      </c>
      <c r="I34" s="17">
        <f>SUMIFS('Arm results'!$O$2:$O$201,'Arm results'!$C$2:$C$201,$C34,'Arm results'!$D$2:$D$201,"B0")</f>
        <v/>
      </c>
      <c r="J34" s="17">
        <f>SUMIFS('Arm results'!$O$2:$O$201,'Arm results'!$C$2:$C$201,$C34,'Arm results'!$D$2:$D$201,"A1")</f>
        <v/>
      </c>
      <c r="K34" s="8">
        <f>IF(H34=1,I34/J34,"")</f>
        <v/>
      </c>
      <c r="L34" s="18">
        <f>IF(H34=1,LN(K34),"")</f>
        <v/>
      </c>
      <c r="M34" s="19">
        <f>IF(H34=1,(I34-J34)/I34,"")</f>
        <v/>
      </c>
      <c r="N34" s="20">
        <f>IF(H34=1,(I34-SUMIFS('Arm results'!$X$2:$X$201,'Arm results'!$C$2:$C$201,$C34,'Arm results'!$D$2:$D$201,"B0"))/(J34-SUMIFS('Arm results'!$X$2:$X$201,'Arm results'!$C$2:$C$201,$C34,'Arm results'!$D$2:$D$201,"A1")),"")</f>
        <v/>
      </c>
      <c r="O34" s="21" t="n">
        <v>2.121433600026648</v>
      </c>
      <c r="P34" s="6" t="n">
        <v>1</v>
      </c>
      <c r="Q34" s="8">
        <f>IF(H34=1,(I34+O34)/(J34+O34),"")</f>
        <v/>
      </c>
      <c r="R34" s="18">
        <f>IF(H34=1,LN(Q34),"")</f>
        <v/>
      </c>
      <c r="S34" s="22">
        <f>SUMIFS('Arm results'!$AI$2:$AI$201,'Arm results'!$C$2:$C$201,$C34,'Arm results'!$D$2:$D$201,"B0")</f>
        <v/>
      </c>
      <c r="T34" s="22">
        <f>SUMIFS('Arm results'!$AI$2:$AI$201,'Arm results'!$C$2:$C$201,$C34,'Arm results'!$D$2:$D$201,"A1")</f>
        <v/>
      </c>
      <c r="U34" s="8">
        <f>IF(H34=1,T34/S34,"")</f>
        <v/>
      </c>
      <c r="V34" s="23">
        <f>SUMIFS('Arm results'!$AJ$2:$AJ$201,'Arm results'!$C$2:$C$201,$C34,'Arm results'!$D$2:$D$201,"B0")</f>
        <v/>
      </c>
      <c r="W34" s="23">
        <f>SUMIFS('Arm results'!$AJ$2:$AJ$201,'Arm results'!$C$2:$C$201,$C34,'Arm results'!$D$2:$D$201,"A1")</f>
        <v/>
      </c>
      <c r="X34" s="5">
        <f>IF(V34&lt;&gt;W34,1,0)</f>
        <v/>
      </c>
    </row>
    <row r="35">
      <c r="A35" s="5" t="n">
        <v>1</v>
      </c>
      <c r="B35" s="5" t="n">
        <v>34</v>
      </c>
      <c r="C35" s="5" t="inlineStr">
        <is>
          <t>protein_1PGA_query_7_mask_4</t>
        </is>
      </c>
      <c r="D35" s="5" t="inlineStr">
        <is>
          <t>hard4</t>
        </is>
      </c>
      <c r="E35" s="5" t="inlineStr">
        <is>
          <t>A1</t>
        </is>
      </c>
      <c r="F35" s="5" t="inlineStr">
        <is>
          <t>SUCCEEDED</t>
        </is>
      </c>
      <c r="G35" s="5" t="inlineStr">
        <is>
          <t>SUCCEEDED</t>
        </is>
      </c>
      <c r="H35" s="5">
        <f>IF(AND(F35="SUCCEEDED",G35="SUCCEEDED"),1,0)</f>
        <v/>
      </c>
      <c r="I35" s="17">
        <f>SUMIFS('Arm results'!$O$2:$O$201,'Arm results'!$C$2:$C$201,$C35,'Arm results'!$D$2:$D$201,"B0")</f>
        <v/>
      </c>
      <c r="J35" s="17">
        <f>SUMIFS('Arm results'!$O$2:$O$201,'Arm results'!$C$2:$C$201,$C35,'Arm results'!$D$2:$D$201,"A1")</f>
        <v/>
      </c>
      <c r="K35" s="8">
        <f>IF(H35=1,I35/J35,"")</f>
        <v/>
      </c>
      <c r="L35" s="18">
        <f>IF(H35=1,LN(K35),"")</f>
        <v/>
      </c>
      <c r="M35" s="19">
        <f>IF(H35=1,(I35-J35)/I35,"")</f>
        <v/>
      </c>
      <c r="N35" s="20">
        <f>IF(H35=1,(I35-SUMIFS('Arm results'!$X$2:$X$201,'Arm results'!$C$2:$C$201,$C35,'Arm results'!$D$2:$D$201,"B0"))/(J35-SUMIFS('Arm results'!$X$2:$X$201,'Arm results'!$C$2:$C$201,$C35,'Arm results'!$D$2:$D$201,"A1")),"")</f>
        <v/>
      </c>
      <c r="O35" s="21" t="n">
        <v>2.349789900006726</v>
      </c>
      <c r="P35" s="6" t="n">
        <v>0</v>
      </c>
      <c r="Q35" s="8">
        <f>IF(H35=1,(I35+O35)/(J35+O35),"")</f>
        <v/>
      </c>
      <c r="R35" s="18">
        <f>IF(H35=1,LN(Q35),"")</f>
        <v/>
      </c>
      <c r="S35" s="22">
        <f>SUMIFS('Arm results'!$AI$2:$AI$201,'Arm results'!$C$2:$C$201,$C35,'Arm results'!$D$2:$D$201,"B0")</f>
        <v/>
      </c>
      <c r="T35" s="22">
        <f>SUMIFS('Arm results'!$AI$2:$AI$201,'Arm results'!$C$2:$C$201,$C35,'Arm results'!$D$2:$D$201,"A1")</f>
        <v/>
      </c>
      <c r="U35" s="8">
        <f>IF(H35=1,T35/S35,"")</f>
        <v/>
      </c>
      <c r="V35" s="23">
        <f>SUMIFS('Arm results'!$AJ$2:$AJ$201,'Arm results'!$C$2:$C$201,$C35,'Arm results'!$D$2:$D$201,"B0")</f>
        <v/>
      </c>
      <c r="W35" s="23">
        <f>SUMIFS('Arm results'!$AJ$2:$AJ$201,'Arm results'!$C$2:$C$201,$C35,'Arm results'!$D$2:$D$201,"A1")</f>
        <v/>
      </c>
      <c r="X35" s="5">
        <f>IF(V35&lt;&gt;W35,1,0)</f>
        <v/>
      </c>
    </row>
    <row r="36">
      <c r="A36" s="5" t="n">
        <v>1</v>
      </c>
      <c r="B36" s="5" t="n">
        <v>35</v>
      </c>
      <c r="C36" s="5" t="inlineStr">
        <is>
          <t>protein_1CRN_query_3_mask_2</t>
        </is>
      </c>
      <c r="D36" s="5" t="inlineStr">
        <is>
          <t>med4</t>
        </is>
      </c>
      <c r="E36" s="5" t="inlineStr">
        <is>
          <t>B0</t>
        </is>
      </c>
      <c r="F36" s="5" t="inlineStr">
        <is>
          <t>SUCCEEDED</t>
        </is>
      </c>
      <c r="G36" s="5" t="inlineStr">
        <is>
          <t>SUCCEEDED</t>
        </is>
      </c>
      <c r="H36" s="5">
        <f>IF(AND(F36="SUCCEEDED",G36="SUCCEEDED"),1,0)</f>
        <v/>
      </c>
      <c r="I36" s="17">
        <f>SUMIFS('Arm results'!$O$2:$O$201,'Arm results'!$C$2:$C$201,$C36,'Arm results'!$D$2:$D$201,"B0")</f>
        <v/>
      </c>
      <c r="J36" s="17">
        <f>SUMIFS('Arm results'!$O$2:$O$201,'Arm results'!$C$2:$C$201,$C36,'Arm results'!$D$2:$D$201,"A1")</f>
        <v/>
      </c>
      <c r="K36" s="8">
        <f>IF(H36=1,I36/J36,"")</f>
        <v/>
      </c>
      <c r="L36" s="18">
        <f>IF(H36=1,LN(K36),"")</f>
        <v/>
      </c>
      <c r="M36" s="19">
        <f>IF(H36=1,(I36-J36)/I36,"")</f>
        <v/>
      </c>
      <c r="N36" s="20">
        <f>IF(H36=1,(I36-SUMIFS('Arm results'!$X$2:$X$201,'Arm results'!$C$2:$C$201,$C36,'Arm results'!$D$2:$D$201,"B0"))/(J36-SUMIFS('Arm results'!$X$2:$X$201,'Arm results'!$C$2:$C$201,$C36,'Arm results'!$D$2:$D$201,"A1")),"")</f>
        <v/>
      </c>
      <c r="O36" s="21" t="n">
        <v>2.52134209999349</v>
      </c>
      <c r="P36" s="6" t="n">
        <v>0</v>
      </c>
      <c r="Q36" s="8">
        <f>IF(H36=1,(I36+O36)/(J36+O36),"")</f>
        <v/>
      </c>
      <c r="R36" s="18">
        <f>IF(H36=1,LN(Q36),"")</f>
        <v/>
      </c>
      <c r="S36" s="22">
        <f>SUMIFS('Arm results'!$AI$2:$AI$201,'Arm results'!$C$2:$C$201,$C36,'Arm results'!$D$2:$D$201,"B0")</f>
        <v/>
      </c>
      <c r="T36" s="22">
        <f>SUMIFS('Arm results'!$AI$2:$AI$201,'Arm results'!$C$2:$C$201,$C36,'Arm results'!$D$2:$D$201,"A1")</f>
        <v/>
      </c>
      <c r="U36" s="8">
        <f>IF(H36=1,T36/S36,"")</f>
        <v/>
      </c>
      <c r="V36" s="23">
        <f>SUMIFS('Arm results'!$AJ$2:$AJ$201,'Arm results'!$C$2:$C$201,$C36,'Arm results'!$D$2:$D$201,"B0")</f>
        <v/>
      </c>
      <c r="W36" s="23">
        <f>SUMIFS('Arm results'!$AJ$2:$AJ$201,'Arm results'!$C$2:$C$201,$C36,'Arm results'!$D$2:$D$201,"A1")</f>
        <v/>
      </c>
      <c r="X36" s="5">
        <f>IF(V36&lt;&gt;W36,1,0)</f>
        <v/>
      </c>
    </row>
    <row r="37">
      <c r="A37" s="5" t="n">
        <v>1</v>
      </c>
      <c r="B37" s="5" t="n">
        <v>36</v>
      </c>
      <c r="C37" s="5" t="inlineStr">
        <is>
          <t>med3_16</t>
        </is>
      </c>
      <c r="D37" s="5" t="inlineStr">
        <is>
          <t>med3</t>
        </is>
      </c>
      <c r="E37" s="5" t="inlineStr">
        <is>
          <t>A1</t>
        </is>
      </c>
      <c r="F37" s="5" t="inlineStr">
        <is>
          <t>SUCCEEDED</t>
        </is>
      </c>
      <c r="G37" s="5" t="inlineStr">
        <is>
          <t>SUCCEEDED</t>
        </is>
      </c>
      <c r="H37" s="5">
        <f>IF(AND(F37="SUCCEEDED",G37="SUCCEEDED"),1,0)</f>
        <v/>
      </c>
      <c r="I37" s="17">
        <f>SUMIFS('Arm results'!$O$2:$O$201,'Arm results'!$C$2:$C$201,$C37,'Arm results'!$D$2:$D$201,"B0")</f>
        <v/>
      </c>
      <c r="J37" s="17">
        <f>SUMIFS('Arm results'!$O$2:$O$201,'Arm results'!$C$2:$C$201,$C37,'Arm results'!$D$2:$D$201,"A1")</f>
        <v/>
      </c>
      <c r="K37" s="8">
        <f>IF(H37=1,I37/J37,"")</f>
        <v/>
      </c>
      <c r="L37" s="18">
        <f>IF(H37=1,LN(K37),"")</f>
        <v/>
      </c>
      <c r="M37" s="19">
        <f>IF(H37=1,(I37-J37)/I37,"")</f>
        <v/>
      </c>
      <c r="N37" s="20">
        <f>IF(H37=1,(I37-SUMIFS('Arm results'!$X$2:$X$201,'Arm results'!$C$2:$C$201,$C37,'Arm results'!$D$2:$D$201,"B0"))/(J37-SUMIFS('Arm results'!$X$2:$X$201,'Arm results'!$C$2:$C$201,$C37,'Arm results'!$D$2:$D$201,"A1")),"")</f>
        <v/>
      </c>
      <c r="O37" s="21" t="n">
        <v>2.671596500033047</v>
      </c>
      <c r="P37" s="6" t="n">
        <v>1</v>
      </c>
      <c r="Q37" s="8">
        <f>IF(H37=1,(I37+O37)/(J37+O37),"")</f>
        <v/>
      </c>
      <c r="R37" s="18">
        <f>IF(H37=1,LN(Q37),"")</f>
        <v/>
      </c>
      <c r="S37" s="22">
        <f>SUMIFS('Arm results'!$AI$2:$AI$201,'Arm results'!$C$2:$C$201,$C37,'Arm results'!$D$2:$D$201,"B0")</f>
        <v/>
      </c>
      <c r="T37" s="22">
        <f>SUMIFS('Arm results'!$AI$2:$AI$201,'Arm results'!$C$2:$C$201,$C37,'Arm results'!$D$2:$D$201,"A1")</f>
        <v/>
      </c>
      <c r="U37" s="8">
        <f>IF(H37=1,T37/S37,"")</f>
        <v/>
      </c>
      <c r="V37" s="23">
        <f>SUMIFS('Arm results'!$AJ$2:$AJ$201,'Arm results'!$C$2:$C$201,$C37,'Arm results'!$D$2:$D$201,"B0")</f>
        <v/>
      </c>
      <c r="W37" s="23">
        <f>SUMIFS('Arm results'!$AJ$2:$AJ$201,'Arm results'!$C$2:$C$201,$C37,'Arm results'!$D$2:$D$201,"A1")</f>
        <v/>
      </c>
      <c r="X37" s="5">
        <f>IF(V37&lt;&gt;W37,1,0)</f>
        <v/>
      </c>
    </row>
    <row r="38">
      <c r="A38" s="5" t="n">
        <v>1</v>
      </c>
      <c r="B38" s="5" t="n">
        <v>37</v>
      </c>
      <c r="C38" s="5" t="inlineStr">
        <is>
          <t>hard2_39</t>
        </is>
      </c>
      <c r="D38" s="5" t="inlineStr">
        <is>
          <t>hard2</t>
        </is>
      </c>
      <c r="E38" s="5" t="inlineStr">
        <is>
          <t>B0</t>
        </is>
      </c>
      <c r="F38" s="5" t="inlineStr">
        <is>
          <t>SUCCEEDED</t>
        </is>
      </c>
      <c r="G38" s="5" t="inlineStr">
        <is>
          <t>SUCCEEDED</t>
        </is>
      </c>
      <c r="H38" s="5">
        <f>IF(AND(F38="SUCCEEDED",G38="SUCCEEDED"),1,0)</f>
        <v/>
      </c>
      <c r="I38" s="17">
        <f>SUMIFS('Arm results'!$O$2:$O$201,'Arm results'!$C$2:$C$201,$C38,'Arm results'!$D$2:$D$201,"B0")</f>
        <v/>
      </c>
      <c r="J38" s="17">
        <f>SUMIFS('Arm results'!$O$2:$O$201,'Arm results'!$C$2:$C$201,$C38,'Arm results'!$D$2:$D$201,"A1")</f>
        <v/>
      </c>
      <c r="K38" s="8">
        <f>IF(H38=1,I38/J38,"")</f>
        <v/>
      </c>
      <c r="L38" s="18">
        <f>IF(H38=1,LN(K38),"")</f>
        <v/>
      </c>
      <c r="M38" s="19">
        <f>IF(H38=1,(I38-J38)/I38,"")</f>
        <v/>
      </c>
      <c r="N38" s="20">
        <f>IF(H38=1,(I38-SUMIFS('Arm results'!$X$2:$X$201,'Arm results'!$C$2:$C$201,$C38,'Arm results'!$D$2:$D$201,"B0"))/(J38-SUMIFS('Arm results'!$X$2:$X$201,'Arm results'!$C$2:$C$201,$C38,'Arm results'!$D$2:$D$201,"A1")),"")</f>
        <v/>
      </c>
      <c r="O38" s="21" t="n">
        <v>4.800206499989145</v>
      </c>
      <c r="P38" s="6" t="n">
        <v>1</v>
      </c>
      <c r="Q38" s="8">
        <f>IF(H38=1,(I38+O38)/(J38+O38),"")</f>
        <v/>
      </c>
      <c r="R38" s="18">
        <f>IF(H38=1,LN(Q38),"")</f>
        <v/>
      </c>
      <c r="S38" s="22">
        <f>SUMIFS('Arm results'!$AI$2:$AI$201,'Arm results'!$C$2:$C$201,$C38,'Arm results'!$D$2:$D$201,"B0")</f>
        <v/>
      </c>
      <c r="T38" s="22">
        <f>SUMIFS('Arm results'!$AI$2:$AI$201,'Arm results'!$C$2:$C$201,$C38,'Arm results'!$D$2:$D$201,"A1")</f>
        <v/>
      </c>
      <c r="U38" s="8">
        <f>IF(H38=1,T38/S38,"")</f>
        <v/>
      </c>
      <c r="V38" s="23">
        <f>SUMIFS('Arm results'!$AJ$2:$AJ$201,'Arm results'!$C$2:$C$201,$C38,'Arm results'!$D$2:$D$201,"B0")</f>
        <v/>
      </c>
      <c r="W38" s="23">
        <f>SUMIFS('Arm results'!$AJ$2:$AJ$201,'Arm results'!$C$2:$C$201,$C38,'Arm results'!$D$2:$D$201,"A1")</f>
        <v/>
      </c>
      <c r="X38" s="5">
        <f>IF(V38&lt;&gt;W38,1,0)</f>
        <v/>
      </c>
    </row>
    <row r="39">
      <c r="A39" s="5" t="n">
        <v>1</v>
      </c>
      <c r="B39" s="5" t="n">
        <v>38</v>
      </c>
      <c r="C39" s="5" t="inlineStr">
        <is>
          <t>med1_45</t>
        </is>
      </c>
      <c r="D39" s="5" t="inlineStr">
        <is>
          <t>med1</t>
        </is>
      </c>
      <c r="E39" s="5" t="inlineStr">
        <is>
          <t>A1</t>
        </is>
      </c>
      <c r="F39" s="5" t="inlineStr">
        <is>
          <t>SUCCEEDED</t>
        </is>
      </c>
      <c r="G39" s="5" t="inlineStr">
        <is>
          <t>SUCCEEDED</t>
        </is>
      </c>
      <c r="H39" s="5">
        <f>IF(AND(F39="SUCCEEDED",G39="SUCCEEDED"),1,0)</f>
        <v/>
      </c>
      <c r="I39" s="17">
        <f>SUMIFS('Arm results'!$O$2:$O$201,'Arm results'!$C$2:$C$201,$C39,'Arm results'!$D$2:$D$201,"B0")</f>
        <v/>
      </c>
      <c r="J39" s="17">
        <f>SUMIFS('Arm results'!$O$2:$O$201,'Arm results'!$C$2:$C$201,$C39,'Arm results'!$D$2:$D$201,"A1")</f>
        <v/>
      </c>
      <c r="K39" s="8">
        <f>IF(H39=1,I39/J39,"")</f>
        <v/>
      </c>
      <c r="L39" s="18">
        <f>IF(H39=1,LN(K39),"")</f>
        <v/>
      </c>
      <c r="M39" s="19">
        <f>IF(H39=1,(I39-J39)/I39,"")</f>
        <v/>
      </c>
      <c r="N39" s="20">
        <f>IF(H39=1,(I39-SUMIFS('Arm results'!$X$2:$X$201,'Arm results'!$C$2:$C$201,$C39,'Arm results'!$D$2:$D$201,"B0"))/(J39-SUMIFS('Arm results'!$X$2:$X$201,'Arm results'!$C$2:$C$201,$C39,'Arm results'!$D$2:$D$201,"A1")),"")</f>
        <v/>
      </c>
      <c r="O39" s="21" t="n">
        <v>2.228211399982683</v>
      </c>
      <c r="P39" s="6" t="n">
        <v>1</v>
      </c>
      <c r="Q39" s="8">
        <f>IF(H39=1,(I39+O39)/(J39+O39),"")</f>
        <v/>
      </c>
      <c r="R39" s="18">
        <f>IF(H39=1,LN(Q39),"")</f>
        <v/>
      </c>
      <c r="S39" s="22">
        <f>SUMIFS('Arm results'!$AI$2:$AI$201,'Arm results'!$C$2:$C$201,$C39,'Arm results'!$D$2:$D$201,"B0")</f>
        <v/>
      </c>
      <c r="T39" s="22">
        <f>SUMIFS('Arm results'!$AI$2:$AI$201,'Arm results'!$C$2:$C$201,$C39,'Arm results'!$D$2:$D$201,"A1")</f>
        <v/>
      </c>
      <c r="U39" s="8">
        <f>IF(H39=1,T39/S39,"")</f>
        <v/>
      </c>
      <c r="V39" s="23">
        <f>SUMIFS('Arm results'!$AJ$2:$AJ$201,'Arm results'!$C$2:$C$201,$C39,'Arm results'!$D$2:$D$201,"B0")</f>
        <v/>
      </c>
      <c r="W39" s="23">
        <f>SUMIFS('Arm results'!$AJ$2:$AJ$201,'Arm results'!$C$2:$C$201,$C39,'Arm results'!$D$2:$D$201,"A1")</f>
        <v/>
      </c>
      <c r="X39" s="5">
        <f>IF(V39&lt;&gt;W39,1,0)</f>
        <v/>
      </c>
    </row>
    <row r="40">
      <c r="A40" s="5" t="n">
        <v>1</v>
      </c>
      <c r="B40" s="5" t="n">
        <v>39</v>
      </c>
      <c r="C40" s="5" t="inlineStr">
        <is>
          <t>hard1_13</t>
        </is>
      </c>
      <c r="D40" s="5" t="inlineStr">
        <is>
          <t>hard1</t>
        </is>
      </c>
      <c r="E40" s="5" t="inlineStr">
        <is>
          <t>B0</t>
        </is>
      </c>
      <c r="F40" s="5" t="inlineStr">
        <is>
          <t>SUCCEEDED</t>
        </is>
      </c>
      <c r="G40" s="5" t="inlineStr">
        <is>
          <t>SUCCEEDED</t>
        </is>
      </c>
      <c r="H40" s="5">
        <f>IF(AND(F40="SUCCEEDED",G40="SUCCEEDED"),1,0)</f>
        <v/>
      </c>
      <c r="I40" s="17">
        <f>SUMIFS('Arm results'!$O$2:$O$201,'Arm results'!$C$2:$C$201,$C40,'Arm results'!$D$2:$D$201,"B0")</f>
        <v/>
      </c>
      <c r="J40" s="17">
        <f>SUMIFS('Arm results'!$O$2:$O$201,'Arm results'!$C$2:$C$201,$C40,'Arm results'!$D$2:$D$201,"A1")</f>
        <v/>
      </c>
      <c r="K40" s="8">
        <f>IF(H40=1,I40/J40,"")</f>
        <v/>
      </c>
      <c r="L40" s="18">
        <f>IF(H40=1,LN(K40),"")</f>
        <v/>
      </c>
      <c r="M40" s="19">
        <f>IF(H40=1,(I40-J40)/I40,"")</f>
        <v/>
      </c>
      <c r="N40" s="20">
        <f>IF(H40=1,(I40-SUMIFS('Arm results'!$X$2:$X$201,'Arm results'!$C$2:$C$201,$C40,'Arm results'!$D$2:$D$201,"B0"))/(J40-SUMIFS('Arm results'!$X$2:$X$201,'Arm results'!$C$2:$C$201,$C40,'Arm results'!$D$2:$D$201,"A1")),"")</f>
        <v/>
      </c>
      <c r="O40" s="21" t="n">
        <v>5.042677199991886</v>
      </c>
      <c r="P40" s="6" t="n">
        <v>1</v>
      </c>
      <c r="Q40" s="8">
        <f>IF(H40=1,(I40+O40)/(J40+O40),"")</f>
        <v/>
      </c>
      <c r="R40" s="18">
        <f>IF(H40=1,LN(Q40),"")</f>
        <v/>
      </c>
      <c r="S40" s="22">
        <f>SUMIFS('Arm results'!$AI$2:$AI$201,'Arm results'!$C$2:$C$201,$C40,'Arm results'!$D$2:$D$201,"B0")</f>
        <v/>
      </c>
      <c r="T40" s="22">
        <f>SUMIFS('Arm results'!$AI$2:$AI$201,'Arm results'!$C$2:$C$201,$C40,'Arm results'!$D$2:$D$201,"A1")</f>
        <v/>
      </c>
      <c r="U40" s="8">
        <f>IF(H40=1,T40/S40,"")</f>
        <v/>
      </c>
      <c r="V40" s="23">
        <f>SUMIFS('Arm results'!$AJ$2:$AJ$201,'Arm results'!$C$2:$C$201,$C40,'Arm results'!$D$2:$D$201,"B0")</f>
        <v/>
      </c>
      <c r="W40" s="23">
        <f>SUMIFS('Arm results'!$AJ$2:$AJ$201,'Arm results'!$C$2:$C$201,$C40,'Arm results'!$D$2:$D$201,"A1")</f>
        <v/>
      </c>
      <c r="X40" s="5">
        <f>IF(V40&lt;&gt;W40,1,0)</f>
        <v/>
      </c>
    </row>
    <row r="41">
      <c r="A41" s="5" t="n">
        <v>1</v>
      </c>
      <c r="B41" s="5" t="n">
        <v>40</v>
      </c>
      <c r="C41" s="5" t="inlineStr">
        <is>
          <t>easy1_39</t>
        </is>
      </c>
      <c r="D41" s="5" t="inlineStr">
        <is>
          <t>easy1</t>
        </is>
      </c>
      <c r="E41" s="5" t="inlineStr">
        <is>
          <t>A1</t>
        </is>
      </c>
      <c r="F41" s="5" t="inlineStr">
        <is>
          <t>SUCCEEDED</t>
        </is>
      </c>
      <c r="G41" s="5" t="inlineStr">
        <is>
          <t>SUCCEEDED</t>
        </is>
      </c>
      <c r="H41" s="5">
        <f>IF(AND(F41="SUCCEEDED",G41="SUCCEEDED"),1,0)</f>
        <v/>
      </c>
      <c r="I41" s="17">
        <f>SUMIFS('Arm results'!$O$2:$O$201,'Arm results'!$C$2:$C$201,$C41,'Arm results'!$D$2:$D$201,"B0")</f>
        <v/>
      </c>
      <c r="J41" s="17">
        <f>SUMIFS('Arm results'!$O$2:$O$201,'Arm results'!$C$2:$C$201,$C41,'Arm results'!$D$2:$D$201,"A1")</f>
        <v/>
      </c>
      <c r="K41" s="8">
        <f>IF(H41=1,I41/J41,"")</f>
        <v/>
      </c>
      <c r="L41" s="18">
        <f>IF(H41=1,LN(K41),"")</f>
        <v/>
      </c>
      <c r="M41" s="19">
        <f>IF(H41=1,(I41-J41)/I41,"")</f>
        <v/>
      </c>
      <c r="N41" s="20">
        <f>IF(H41=1,(I41-SUMIFS('Arm results'!$X$2:$X$201,'Arm results'!$C$2:$C$201,$C41,'Arm results'!$D$2:$D$201,"B0"))/(J41-SUMIFS('Arm results'!$X$2:$X$201,'Arm results'!$C$2:$C$201,$C41,'Arm results'!$D$2:$D$201,"A1")),"")</f>
        <v/>
      </c>
      <c r="O41" s="21" t="n">
        <v>1.607306500023697</v>
      </c>
      <c r="P41" s="6" t="n">
        <v>1</v>
      </c>
      <c r="Q41" s="8">
        <f>IF(H41=1,(I41+O41)/(J41+O41),"")</f>
        <v/>
      </c>
      <c r="R41" s="18">
        <f>IF(H41=1,LN(Q41),"")</f>
        <v/>
      </c>
      <c r="S41" s="22">
        <f>SUMIFS('Arm results'!$AI$2:$AI$201,'Arm results'!$C$2:$C$201,$C41,'Arm results'!$D$2:$D$201,"B0")</f>
        <v/>
      </c>
      <c r="T41" s="22">
        <f>SUMIFS('Arm results'!$AI$2:$AI$201,'Arm results'!$C$2:$C$201,$C41,'Arm results'!$D$2:$D$201,"A1")</f>
        <v/>
      </c>
      <c r="U41" s="8">
        <f>IF(H41=1,T41/S41,"")</f>
        <v/>
      </c>
      <c r="V41" s="23">
        <f>SUMIFS('Arm results'!$AJ$2:$AJ$201,'Arm results'!$C$2:$C$201,$C41,'Arm results'!$D$2:$D$201,"B0")</f>
        <v/>
      </c>
      <c r="W41" s="23">
        <f>SUMIFS('Arm results'!$AJ$2:$AJ$201,'Arm results'!$C$2:$C$201,$C41,'Arm results'!$D$2:$D$201,"A1")</f>
        <v/>
      </c>
      <c r="X41" s="5">
        <f>IF(V41&lt;&gt;W41,1,0)</f>
        <v/>
      </c>
    </row>
    <row r="42">
      <c r="A42" s="5" t="n">
        <v>1</v>
      </c>
      <c r="B42" s="5" t="n">
        <v>41</v>
      </c>
      <c r="C42" s="5" t="inlineStr">
        <is>
          <t>easy2_14</t>
        </is>
      </c>
      <c r="D42" s="5" t="inlineStr">
        <is>
          <t>easy2</t>
        </is>
      </c>
      <c r="E42" s="5" t="inlineStr">
        <is>
          <t>B0</t>
        </is>
      </c>
      <c r="F42" s="5" t="inlineStr">
        <is>
          <t>SUCCEEDED</t>
        </is>
      </c>
      <c r="G42" s="5" t="inlineStr">
        <is>
          <t>SUCCEEDED</t>
        </is>
      </c>
      <c r="H42" s="5">
        <f>IF(AND(F42="SUCCEEDED",G42="SUCCEEDED"),1,0)</f>
        <v/>
      </c>
      <c r="I42" s="17">
        <f>SUMIFS('Arm results'!$O$2:$O$201,'Arm results'!$C$2:$C$201,$C42,'Arm results'!$D$2:$D$201,"B0")</f>
        <v/>
      </c>
      <c r="J42" s="17">
        <f>SUMIFS('Arm results'!$O$2:$O$201,'Arm results'!$C$2:$C$201,$C42,'Arm results'!$D$2:$D$201,"A1")</f>
        <v/>
      </c>
      <c r="K42" s="8">
        <f>IF(H42=1,I42/J42,"")</f>
        <v/>
      </c>
      <c r="L42" s="18">
        <f>IF(H42=1,LN(K42),"")</f>
        <v/>
      </c>
      <c r="M42" s="19">
        <f>IF(H42=1,(I42-J42)/I42,"")</f>
        <v/>
      </c>
      <c r="N42" s="20">
        <f>IF(H42=1,(I42-SUMIFS('Arm results'!$X$2:$X$201,'Arm results'!$C$2:$C$201,$C42,'Arm results'!$D$2:$D$201,"B0"))/(J42-SUMIFS('Arm results'!$X$2:$X$201,'Arm results'!$C$2:$C$201,$C42,'Arm results'!$D$2:$D$201,"A1")),"")</f>
        <v/>
      </c>
      <c r="O42" s="21" t="n">
        <v>1.745991299976595</v>
      </c>
      <c r="P42" s="6" t="n">
        <v>0</v>
      </c>
      <c r="Q42" s="8">
        <f>IF(H42=1,(I42+O42)/(J42+O42),"")</f>
        <v/>
      </c>
      <c r="R42" s="18">
        <f>IF(H42=1,LN(Q42),"")</f>
        <v/>
      </c>
      <c r="S42" s="22">
        <f>SUMIFS('Arm results'!$AI$2:$AI$201,'Arm results'!$C$2:$C$201,$C42,'Arm results'!$D$2:$D$201,"B0")</f>
        <v/>
      </c>
      <c r="T42" s="22">
        <f>SUMIFS('Arm results'!$AI$2:$AI$201,'Arm results'!$C$2:$C$201,$C42,'Arm results'!$D$2:$D$201,"A1")</f>
        <v/>
      </c>
      <c r="U42" s="8">
        <f>IF(H42=1,T42/S42,"")</f>
        <v/>
      </c>
      <c r="V42" s="23">
        <f>SUMIFS('Arm results'!$AJ$2:$AJ$201,'Arm results'!$C$2:$C$201,$C42,'Arm results'!$D$2:$D$201,"B0")</f>
        <v/>
      </c>
      <c r="W42" s="23">
        <f>SUMIFS('Arm results'!$AJ$2:$AJ$201,'Arm results'!$C$2:$C$201,$C42,'Arm results'!$D$2:$D$201,"A1")</f>
        <v/>
      </c>
      <c r="X42" s="5">
        <f>IF(V42&lt;&gt;W42,1,0)</f>
        <v/>
      </c>
    </row>
    <row r="43">
      <c r="A43" s="5" t="n">
        <v>1</v>
      </c>
      <c r="B43" s="5" t="n">
        <v>42</v>
      </c>
      <c r="C43" s="5" t="inlineStr">
        <is>
          <t>easy1_9</t>
        </is>
      </c>
      <c r="D43" s="5" t="inlineStr">
        <is>
          <t>easy1</t>
        </is>
      </c>
      <c r="E43" s="5" t="inlineStr">
        <is>
          <t>A1</t>
        </is>
      </c>
      <c r="F43" s="5" t="inlineStr">
        <is>
          <t>SUCCEEDED</t>
        </is>
      </c>
      <c r="G43" s="5" t="inlineStr">
        <is>
          <t>SUCCEEDED</t>
        </is>
      </c>
      <c r="H43" s="5">
        <f>IF(AND(F43="SUCCEEDED",G43="SUCCEEDED"),1,0)</f>
        <v/>
      </c>
      <c r="I43" s="17">
        <f>SUMIFS('Arm results'!$O$2:$O$201,'Arm results'!$C$2:$C$201,$C43,'Arm results'!$D$2:$D$201,"B0")</f>
        <v/>
      </c>
      <c r="J43" s="17">
        <f>SUMIFS('Arm results'!$O$2:$O$201,'Arm results'!$C$2:$C$201,$C43,'Arm results'!$D$2:$D$201,"A1")</f>
        <v/>
      </c>
      <c r="K43" s="8">
        <f>IF(H43=1,I43/J43,"")</f>
        <v/>
      </c>
      <c r="L43" s="18">
        <f>IF(H43=1,LN(K43),"")</f>
        <v/>
      </c>
      <c r="M43" s="19">
        <f>IF(H43=1,(I43-J43)/I43,"")</f>
        <v/>
      </c>
      <c r="N43" s="20">
        <f>IF(H43=1,(I43-SUMIFS('Arm results'!$X$2:$X$201,'Arm results'!$C$2:$C$201,$C43,'Arm results'!$D$2:$D$201,"B0"))/(J43-SUMIFS('Arm results'!$X$2:$X$201,'Arm results'!$C$2:$C$201,$C43,'Arm results'!$D$2:$D$201,"A1")),"")</f>
        <v/>
      </c>
      <c r="O43" s="21" t="n">
        <v>1.637198299984448</v>
      </c>
      <c r="P43" s="6" t="n">
        <v>1</v>
      </c>
      <c r="Q43" s="8">
        <f>IF(H43=1,(I43+O43)/(J43+O43),"")</f>
        <v/>
      </c>
      <c r="R43" s="18">
        <f>IF(H43=1,LN(Q43),"")</f>
        <v/>
      </c>
      <c r="S43" s="22">
        <f>SUMIFS('Arm results'!$AI$2:$AI$201,'Arm results'!$C$2:$C$201,$C43,'Arm results'!$D$2:$D$201,"B0")</f>
        <v/>
      </c>
      <c r="T43" s="22">
        <f>SUMIFS('Arm results'!$AI$2:$AI$201,'Arm results'!$C$2:$C$201,$C43,'Arm results'!$D$2:$D$201,"A1")</f>
        <v/>
      </c>
      <c r="U43" s="8">
        <f>IF(H43=1,T43/S43,"")</f>
        <v/>
      </c>
      <c r="V43" s="23">
        <f>SUMIFS('Arm results'!$AJ$2:$AJ$201,'Arm results'!$C$2:$C$201,$C43,'Arm results'!$D$2:$D$201,"B0")</f>
        <v/>
      </c>
      <c r="W43" s="23">
        <f>SUMIFS('Arm results'!$AJ$2:$AJ$201,'Arm results'!$C$2:$C$201,$C43,'Arm results'!$D$2:$D$201,"A1")</f>
        <v/>
      </c>
      <c r="X43" s="5">
        <f>IF(V43&lt;&gt;W43,1,0)</f>
        <v/>
      </c>
    </row>
    <row r="44">
      <c r="A44" s="5" t="n">
        <v>1</v>
      </c>
      <c r="B44" s="5" t="n">
        <v>43</v>
      </c>
      <c r="C44" s="5" t="inlineStr">
        <is>
          <t>protein_1CRN_query_2_mask_2</t>
        </is>
      </c>
      <c r="D44" s="5" t="inlineStr">
        <is>
          <t>med4</t>
        </is>
      </c>
      <c r="E44" s="5" t="inlineStr">
        <is>
          <t>B0</t>
        </is>
      </c>
      <c r="F44" s="5" t="inlineStr">
        <is>
          <t>SUCCEEDED</t>
        </is>
      </c>
      <c r="G44" s="5" t="inlineStr">
        <is>
          <t>SUCCEEDED</t>
        </is>
      </c>
      <c r="H44" s="5">
        <f>IF(AND(F44="SUCCEEDED",G44="SUCCEEDED"),1,0)</f>
        <v/>
      </c>
      <c r="I44" s="17">
        <f>SUMIFS('Arm results'!$O$2:$O$201,'Arm results'!$C$2:$C$201,$C44,'Arm results'!$D$2:$D$201,"B0")</f>
        <v/>
      </c>
      <c r="J44" s="17">
        <f>SUMIFS('Arm results'!$O$2:$O$201,'Arm results'!$C$2:$C$201,$C44,'Arm results'!$D$2:$D$201,"A1")</f>
        <v/>
      </c>
      <c r="K44" s="8">
        <f>IF(H44=1,I44/J44,"")</f>
        <v/>
      </c>
      <c r="L44" s="18">
        <f>IF(H44=1,LN(K44),"")</f>
        <v/>
      </c>
      <c r="M44" s="19">
        <f>IF(H44=1,(I44-J44)/I44,"")</f>
        <v/>
      </c>
      <c r="N44" s="20">
        <f>IF(H44=1,(I44-SUMIFS('Arm results'!$X$2:$X$201,'Arm results'!$C$2:$C$201,$C44,'Arm results'!$D$2:$D$201,"B0"))/(J44-SUMIFS('Arm results'!$X$2:$X$201,'Arm results'!$C$2:$C$201,$C44,'Arm results'!$D$2:$D$201,"A1")),"")</f>
        <v/>
      </c>
      <c r="O44" s="21" t="n">
        <v>2.896376799966674</v>
      </c>
      <c r="P44" s="6" t="n">
        <v>0</v>
      </c>
      <c r="Q44" s="8">
        <f>IF(H44=1,(I44+O44)/(J44+O44),"")</f>
        <v/>
      </c>
      <c r="R44" s="18">
        <f>IF(H44=1,LN(Q44),"")</f>
        <v/>
      </c>
      <c r="S44" s="22">
        <f>SUMIFS('Arm results'!$AI$2:$AI$201,'Arm results'!$C$2:$C$201,$C44,'Arm results'!$D$2:$D$201,"B0")</f>
        <v/>
      </c>
      <c r="T44" s="22">
        <f>SUMIFS('Arm results'!$AI$2:$AI$201,'Arm results'!$C$2:$C$201,$C44,'Arm results'!$D$2:$D$201,"A1")</f>
        <v/>
      </c>
      <c r="U44" s="8">
        <f>IF(H44=1,T44/S44,"")</f>
        <v/>
      </c>
      <c r="V44" s="23">
        <f>SUMIFS('Arm results'!$AJ$2:$AJ$201,'Arm results'!$C$2:$C$201,$C44,'Arm results'!$D$2:$D$201,"B0")</f>
        <v/>
      </c>
      <c r="W44" s="23">
        <f>SUMIFS('Arm results'!$AJ$2:$AJ$201,'Arm results'!$C$2:$C$201,$C44,'Arm results'!$D$2:$D$201,"A1")</f>
        <v/>
      </c>
      <c r="X44" s="5">
        <f>IF(V44&lt;&gt;W44,1,0)</f>
        <v/>
      </c>
    </row>
    <row r="45">
      <c r="A45" s="5" t="n">
        <v>1</v>
      </c>
      <c r="B45" s="5" t="n">
        <v>44</v>
      </c>
      <c r="C45" s="5" t="inlineStr">
        <is>
          <t>protein_8RXN_query_9_mask_2</t>
        </is>
      </c>
      <c r="D45" s="5" t="inlineStr">
        <is>
          <t>med4</t>
        </is>
      </c>
      <c r="E45" s="5" t="inlineStr">
        <is>
          <t>A1</t>
        </is>
      </c>
      <c r="F45" s="5" t="inlineStr">
        <is>
          <t>SUCCEEDED</t>
        </is>
      </c>
      <c r="G45" s="5" t="inlineStr">
        <is>
          <t>SUCCEEDED</t>
        </is>
      </c>
      <c r="H45" s="5">
        <f>IF(AND(F45="SUCCEEDED",G45="SUCCEEDED"),1,0)</f>
        <v/>
      </c>
      <c r="I45" s="17">
        <f>SUMIFS('Arm results'!$O$2:$O$201,'Arm results'!$C$2:$C$201,$C45,'Arm results'!$D$2:$D$201,"B0")</f>
        <v/>
      </c>
      <c r="J45" s="17">
        <f>SUMIFS('Arm results'!$O$2:$O$201,'Arm results'!$C$2:$C$201,$C45,'Arm results'!$D$2:$D$201,"A1")</f>
        <v/>
      </c>
      <c r="K45" s="8">
        <f>IF(H45=1,I45/J45,"")</f>
        <v/>
      </c>
      <c r="L45" s="18">
        <f>IF(H45=1,LN(K45),"")</f>
        <v/>
      </c>
      <c r="M45" s="19">
        <f>IF(H45=1,(I45-J45)/I45,"")</f>
        <v/>
      </c>
      <c r="N45" s="20">
        <f>IF(H45=1,(I45-SUMIFS('Arm results'!$X$2:$X$201,'Arm results'!$C$2:$C$201,$C45,'Arm results'!$D$2:$D$201,"B0"))/(J45-SUMIFS('Arm results'!$X$2:$X$201,'Arm results'!$C$2:$C$201,$C45,'Arm results'!$D$2:$D$201,"A1")),"")</f>
        <v/>
      </c>
      <c r="O45" s="21" t="n">
        <v>2.232480700011365</v>
      </c>
      <c r="P45" s="6" t="n">
        <v>0</v>
      </c>
      <c r="Q45" s="8">
        <f>IF(H45=1,(I45+O45)/(J45+O45),"")</f>
        <v/>
      </c>
      <c r="R45" s="18">
        <f>IF(H45=1,LN(Q45),"")</f>
        <v/>
      </c>
      <c r="S45" s="22">
        <f>SUMIFS('Arm results'!$AI$2:$AI$201,'Arm results'!$C$2:$C$201,$C45,'Arm results'!$D$2:$D$201,"B0")</f>
        <v/>
      </c>
      <c r="T45" s="22">
        <f>SUMIFS('Arm results'!$AI$2:$AI$201,'Arm results'!$C$2:$C$201,$C45,'Arm results'!$D$2:$D$201,"A1")</f>
        <v/>
      </c>
      <c r="U45" s="8">
        <f>IF(H45=1,T45/S45,"")</f>
        <v/>
      </c>
      <c r="V45" s="23">
        <f>SUMIFS('Arm results'!$AJ$2:$AJ$201,'Arm results'!$C$2:$C$201,$C45,'Arm results'!$D$2:$D$201,"B0")</f>
        <v/>
      </c>
      <c r="W45" s="23">
        <f>SUMIFS('Arm results'!$AJ$2:$AJ$201,'Arm results'!$C$2:$C$201,$C45,'Arm results'!$D$2:$D$201,"A1")</f>
        <v/>
      </c>
      <c r="X45" s="5">
        <f>IF(V45&lt;&gt;W45,1,0)</f>
        <v/>
      </c>
    </row>
    <row r="46">
      <c r="A46" s="5" t="n">
        <v>1</v>
      </c>
      <c r="B46" s="5" t="n">
        <v>45</v>
      </c>
      <c r="C46" s="5" t="inlineStr">
        <is>
          <t>hard3_43</t>
        </is>
      </c>
      <c r="D46" s="5" t="inlineStr">
        <is>
          <t>hard3</t>
        </is>
      </c>
      <c r="E46" s="5" t="inlineStr">
        <is>
          <t>B0</t>
        </is>
      </c>
      <c r="F46" s="5" t="inlineStr">
        <is>
          <t>SUCCEEDED</t>
        </is>
      </c>
      <c r="G46" s="5" t="inlineStr">
        <is>
          <t>SUCCEEDED</t>
        </is>
      </c>
      <c r="H46" s="5">
        <f>IF(AND(F46="SUCCEEDED",G46="SUCCEEDED"),1,0)</f>
        <v/>
      </c>
      <c r="I46" s="17">
        <f>SUMIFS('Arm results'!$O$2:$O$201,'Arm results'!$C$2:$C$201,$C46,'Arm results'!$D$2:$D$201,"B0")</f>
        <v/>
      </c>
      <c r="J46" s="17">
        <f>SUMIFS('Arm results'!$O$2:$O$201,'Arm results'!$C$2:$C$201,$C46,'Arm results'!$D$2:$D$201,"A1")</f>
        <v/>
      </c>
      <c r="K46" s="8">
        <f>IF(H46=1,I46/J46,"")</f>
        <v/>
      </c>
      <c r="L46" s="18">
        <f>IF(H46=1,LN(K46),"")</f>
        <v/>
      </c>
      <c r="M46" s="19">
        <f>IF(H46=1,(I46-J46)/I46,"")</f>
        <v/>
      </c>
      <c r="N46" s="20">
        <f>IF(H46=1,(I46-SUMIFS('Arm results'!$X$2:$X$201,'Arm results'!$C$2:$C$201,$C46,'Arm results'!$D$2:$D$201,"B0"))/(J46-SUMIFS('Arm results'!$X$2:$X$201,'Arm results'!$C$2:$C$201,$C46,'Arm results'!$D$2:$D$201,"A1")),"")</f>
        <v/>
      </c>
      <c r="O46" s="21" t="n">
        <v>2.974123599997256</v>
      </c>
      <c r="P46" s="6" t="n">
        <v>1</v>
      </c>
      <c r="Q46" s="8">
        <f>IF(H46=1,(I46+O46)/(J46+O46),"")</f>
        <v/>
      </c>
      <c r="R46" s="18">
        <f>IF(H46=1,LN(Q46),"")</f>
        <v/>
      </c>
      <c r="S46" s="22">
        <f>SUMIFS('Arm results'!$AI$2:$AI$201,'Arm results'!$C$2:$C$201,$C46,'Arm results'!$D$2:$D$201,"B0")</f>
        <v/>
      </c>
      <c r="T46" s="22">
        <f>SUMIFS('Arm results'!$AI$2:$AI$201,'Arm results'!$C$2:$C$201,$C46,'Arm results'!$D$2:$D$201,"A1")</f>
        <v/>
      </c>
      <c r="U46" s="8">
        <f>IF(H46=1,T46/S46,"")</f>
        <v/>
      </c>
      <c r="V46" s="23">
        <f>SUMIFS('Arm results'!$AJ$2:$AJ$201,'Arm results'!$C$2:$C$201,$C46,'Arm results'!$D$2:$D$201,"B0")</f>
        <v/>
      </c>
      <c r="W46" s="23">
        <f>SUMIFS('Arm results'!$AJ$2:$AJ$201,'Arm results'!$C$2:$C$201,$C46,'Arm results'!$D$2:$D$201,"A1")</f>
        <v/>
      </c>
      <c r="X46" s="5">
        <f>IF(V46&lt;&gt;W46,1,0)</f>
        <v/>
      </c>
    </row>
    <row r="47">
      <c r="A47" s="5" t="n">
        <v>1</v>
      </c>
      <c r="B47" s="5" t="n">
        <v>46</v>
      </c>
      <c r="C47" s="5" t="inlineStr">
        <is>
          <t>hard3_7</t>
        </is>
      </c>
      <c r="D47" s="5" t="inlineStr">
        <is>
          <t>hard3</t>
        </is>
      </c>
      <c r="E47" s="5" t="inlineStr">
        <is>
          <t>A1</t>
        </is>
      </c>
      <c r="F47" s="5" t="inlineStr">
        <is>
          <t>SUCCEEDED</t>
        </is>
      </c>
      <c r="G47" s="5" t="inlineStr">
        <is>
          <t>SUCCEEDED</t>
        </is>
      </c>
      <c r="H47" s="5">
        <f>IF(AND(F47="SUCCEEDED",G47="SUCCEEDED"),1,0)</f>
        <v/>
      </c>
      <c r="I47" s="17">
        <f>SUMIFS('Arm results'!$O$2:$O$201,'Arm results'!$C$2:$C$201,$C47,'Arm results'!$D$2:$D$201,"B0")</f>
        <v/>
      </c>
      <c r="J47" s="17">
        <f>SUMIFS('Arm results'!$O$2:$O$201,'Arm results'!$C$2:$C$201,$C47,'Arm results'!$D$2:$D$201,"A1")</f>
        <v/>
      </c>
      <c r="K47" s="8">
        <f>IF(H47=1,I47/J47,"")</f>
        <v/>
      </c>
      <c r="L47" s="18">
        <f>IF(H47=1,LN(K47),"")</f>
        <v/>
      </c>
      <c r="M47" s="19">
        <f>IF(H47=1,(I47-J47)/I47,"")</f>
        <v/>
      </c>
      <c r="N47" s="20">
        <f>IF(H47=1,(I47-SUMIFS('Arm results'!$X$2:$X$201,'Arm results'!$C$2:$C$201,$C47,'Arm results'!$D$2:$D$201,"B0"))/(J47-SUMIFS('Arm results'!$X$2:$X$201,'Arm results'!$C$2:$C$201,$C47,'Arm results'!$D$2:$D$201,"A1")),"")</f>
        <v/>
      </c>
      <c r="O47" s="21" t="n">
        <v>2.757575600000564</v>
      </c>
      <c r="P47" s="6" t="n">
        <v>1</v>
      </c>
      <c r="Q47" s="8">
        <f>IF(H47=1,(I47+O47)/(J47+O47),"")</f>
        <v/>
      </c>
      <c r="R47" s="18">
        <f>IF(H47=1,LN(Q47),"")</f>
        <v/>
      </c>
      <c r="S47" s="22">
        <f>SUMIFS('Arm results'!$AI$2:$AI$201,'Arm results'!$C$2:$C$201,$C47,'Arm results'!$D$2:$D$201,"B0")</f>
        <v/>
      </c>
      <c r="T47" s="22">
        <f>SUMIFS('Arm results'!$AI$2:$AI$201,'Arm results'!$C$2:$C$201,$C47,'Arm results'!$D$2:$D$201,"A1")</f>
        <v/>
      </c>
      <c r="U47" s="8">
        <f>IF(H47=1,T47/S47,"")</f>
        <v/>
      </c>
      <c r="V47" s="23">
        <f>SUMIFS('Arm results'!$AJ$2:$AJ$201,'Arm results'!$C$2:$C$201,$C47,'Arm results'!$D$2:$D$201,"B0")</f>
        <v/>
      </c>
      <c r="W47" s="23">
        <f>SUMIFS('Arm results'!$AJ$2:$AJ$201,'Arm results'!$C$2:$C$201,$C47,'Arm results'!$D$2:$D$201,"A1")</f>
        <v/>
      </c>
      <c r="X47" s="5">
        <f>IF(V47&lt;&gt;W47,1,0)</f>
        <v/>
      </c>
    </row>
    <row r="48">
      <c r="A48" s="5" t="n">
        <v>1</v>
      </c>
      <c r="B48" s="5" t="n">
        <v>47</v>
      </c>
      <c r="C48" s="5" t="inlineStr">
        <is>
          <t>med2_17</t>
        </is>
      </c>
      <c r="D48" s="5" t="inlineStr">
        <is>
          <t>med2</t>
        </is>
      </c>
      <c r="E48" s="5" t="inlineStr">
        <is>
          <t>B0</t>
        </is>
      </c>
      <c r="F48" s="5" t="inlineStr">
        <is>
          <t>SUCCEEDED</t>
        </is>
      </c>
      <c r="G48" s="5" t="inlineStr">
        <is>
          <t>SUCCEEDED</t>
        </is>
      </c>
      <c r="H48" s="5">
        <f>IF(AND(F48="SUCCEEDED",G48="SUCCEEDED"),1,0)</f>
        <v/>
      </c>
      <c r="I48" s="17">
        <f>SUMIFS('Arm results'!$O$2:$O$201,'Arm results'!$C$2:$C$201,$C48,'Arm results'!$D$2:$D$201,"B0")</f>
        <v/>
      </c>
      <c r="J48" s="17">
        <f>SUMIFS('Arm results'!$O$2:$O$201,'Arm results'!$C$2:$C$201,$C48,'Arm results'!$D$2:$D$201,"A1")</f>
        <v/>
      </c>
      <c r="K48" s="8">
        <f>IF(H48=1,I48/J48,"")</f>
        <v/>
      </c>
      <c r="L48" s="18">
        <f>IF(H48=1,LN(K48),"")</f>
        <v/>
      </c>
      <c r="M48" s="19">
        <f>IF(H48=1,(I48-J48)/I48,"")</f>
        <v/>
      </c>
      <c r="N48" s="20">
        <f>IF(H48=1,(I48-SUMIFS('Arm results'!$X$2:$X$201,'Arm results'!$C$2:$C$201,$C48,'Arm results'!$D$2:$D$201,"B0"))/(J48-SUMIFS('Arm results'!$X$2:$X$201,'Arm results'!$C$2:$C$201,$C48,'Arm results'!$D$2:$D$201,"A1")),"")</f>
        <v/>
      </c>
      <c r="O48" s="21" t="n">
        <v>2.051727200043388</v>
      </c>
      <c r="P48" s="6" t="n">
        <v>1</v>
      </c>
      <c r="Q48" s="8">
        <f>IF(H48=1,(I48+O48)/(J48+O48),"")</f>
        <v/>
      </c>
      <c r="R48" s="18">
        <f>IF(H48=1,LN(Q48),"")</f>
        <v/>
      </c>
      <c r="S48" s="22">
        <f>SUMIFS('Arm results'!$AI$2:$AI$201,'Arm results'!$C$2:$C$201,$C48,'Arm results'!$D$2:$D$201,"B0")</f>
        <v/>
      </c>
      <c r="T48" s="22">
        <f>SUMIFS('Arm results'!$AI$2:$AI$201,'Arm results'!$C$2:$C$201,$C48,'Arm results'!$D$2:$D$201,"A1")</f>
        <v/>
      </c>
      <c r="U48" s="8">
        <f>IF(H48=1,T48/S48,"")</f>
        <v/>
      </c>
      <c r="V48" s="23">
        <f>SUMIFS('Arm results'!$AJ$2:$AJ$201,'Arm results'!$C$2:$C$201,$C48,'Arm results'!$D$2:$D$201,"B0")</f>
        <v/>
      </c>
      <c r="W48" s="23">
        <f>SUMIFS('Arm results'!$AJ$2:$AJ$201,'Arm results'!$C$2:$C$201,$C48,'Arm results'!$D$2:$D$201,"A1")</f>
        <v/>
      </c>
      <c r="X48" s="5">
        <f>IF(V48&lt;&gt;W48,1,0)</f>
        <v/>
      </c>
    </row>
    <row r="49">
      <c r="A49" s="5" t="n">
        <v>1</v>
      </c>
      <c r="B49" s="5" t="n">
        <v>48</v>
      </c>
      <c r="C49" s="5" t="inlineStr">
        <is>
          <t>med1_20</t>
        </is>
      </c>
      <c r="D49" s="5" t="inlineStr">
        <is>
          <t>med1</t>
        </is>
      </c>
      <c r="E49" s="5" t="inlineStr">
        <is>
          <t>A1</t>
        </is>
      </c>
      <c r="F49" s="5" t="inlineStr">
        <is>
          <t>SUCCEEDED</t>
        </is>
      </c>
      <c r="G49" s="5" t="inlineStr">
        <is>
          <t>SUCCEEDED</t>
        </is>
      </c>
      <c r="H49" s="5">
        <f>IF(AND(F49="SUCCEEDED",G49="SUCCEEDED"),1,0)</f>
        <v/>
      </c>
      <c r="I49" s="17">
        <f>SUMIFS('Arm results'!$O$2:$O$201,'Arm results'!$C$2:$C$201,$C49,'Arm results'!$D$2:$D$201,"B0")</f>
        <v/>
      </c>
      <c r="J49" s="17">
        <f>SUMIFS('Arm results'!$O$2:$O$201,'Arm results'!$C$2:$C$201,$C49,'Arm results'!$D$2:$D$201,"A1")</f>
        <v/>
      </c>
      <c r="K49" s="8">
        <f>IF(H49=1,I49/J49,"")</f>
        <v/>
      </c>
      <c r="L49" s="18">
        <f>IF(H49=1,LN(K49),"")</f>
        <v/>
      </c>
      <c r="M49" s="19">
        <f>IF(H49=1,(I49-J49)/I49,"")</f>
        <v/>
      </c>
      <c r="N49" s="20">
        <f>IF(H49=1,(I49-SUMIFS('Arm results'!$X$2:$X$201,'Arm results'!$C$2:$C$201,$C49,'Arm results'!$D$2:$D$201,"B0"))/(J49-SUMIFS('Arm results'!$X$2:$X$201,'Arm results'!$C$2:$C$201,$C49,'Arm results'!$D$2:$D$201,"A1")),"")</f>
        <v/>
      </c>
      <c r="O49" s="21" t="n">
        <v>3.231677500007208</v>
      </c>
      <c r="P49" s="6" t="n">
        <v>1</v>
      </c>
      <c r="Q49" s="8">
        <f>IF(H49=1,(I49+O49)/(J49+O49),"")</f>
        <v/>
      </c>
      <c r="R49" s="18">
        <f>IF(H49=1,LN(Q49),"")</f>
        <v/>
      </c>
      <c r="S49" s="22">
        <f>SUMIFS('Arm results'!$AI$2:$AI$201,'Arm results'!$C$2:$C$201,$C49,'Arm results'!$D$2:$D$201,"B0")</f>
        <v/>
      </c>
      <c r="T49" s="22">
        <f>SUMIFS('Arm results'!$AI$2:$AI$201,'Arm results'!$C$2:$C$201,$C49,'Arm results'!$D$2:$D$201,"A1")</f>
        <v/>
      </c>
      <c r="U49" s="8">
        <f>IF(H49=1,T49/S49,"")</f>
        <v/>
      </c>
      <c r="V49" s="23">
        <f>SUMIFS('Arm results'!$AJ$2:$AJ$201,'Arm results'!$C$2:$C$201,$C49,'Arm results'!$D$2:$D$201,"B0")</f>
        <v/>
      </c>
      <c r="W49" s="23">
        <f>SUMIFS('Arm results'!$AJ$2:$AJ$201,'Arm results'!$C$2:$C$201,$C49,'Arm results'!$D$2:$D$201,"A1")</f>
        <v/>
      </c>
      <c r="X49" s="5">
        <f>IF(V49&lt;&gt;W49,1,0)</f>
        <v/>
      </c>
    </row>
    <row r="50">
      <c r="A50" s="5" t="n">
        <v>1</v>
      </c>
      <c r="B50" s="5" t="n">
        <v>49</v>
      </c>
      <c r="C50" s="5" t="inlineStr">
        <is>
          <t>hard2_15</t>
        </is>
      </c>
      <c r="D50" s="5" t="inlineStr">
        <is>
          <t>hard2</t>
        </is>
      </c>
      <c r="E50" s="5" t="inlineStr">
        <is>
          <t>B0</t>
        </is>
      </c>
      <c r="F50" s="5" t="inlineStr">
        <is>
          <t>SUCCEEDED</t>
        </is>
      </c>
      <c r="G50" s="5" t="inlineStr">
        <is>
          <t>SUCCEEDED</t>
        </is>
      </c>
      <c r="H50" s="5">
        <f>IF(AND(F50="SUCCEEDED",G50="SUCCEEDED"),1,0)</f>
        <v/>
      </c>
      <c r="I50" s="17">
        <f>SUMIFS('Arm results'!$O$2:$O$201,'Arm results'!$C$2:$C$201,$C50,'Arm results'!$D$2:$D$201,"B0")</f>
        <v/>
      </c>
      <c r="J50" s="17">
        <f>SUMIFS('Arm results'!$O$2:$O$201,'Arm results'!$C$2:$C$201,$C50,'Arm results'!$D$2:$D$201,"A1")</f>
        <v/>
      </c>
      <c r="K50" s="8">
        <f>IF(H50=1,I50/J50,"")</f>
        <v/>
      </c>
      <c r="L50" s="18">
        <f>IF(H50=1,LN(K50),"")</f>
        <v/>
      </c>
      <c r="M50" s="19">
        <f>IF(H50=1,(I50-J50)/I50,"")</f>
        <v/>
      </c>
      <c r="N50" s="20">
        <f>IF(H50=1,(I50-SUMIFS('Arm results'!$X$2:$X$201,'Arm results'!$C$2:$C$201,$C50,'Arm results'!$D$2:$D$201,"B0"))/(J50-SUMIFS('Arm results'!$X$2:$X$201,'Arm results'!$C$2:$C$201,$C50,'Arm results'!$D$2:$D$201,"A1")),"")</f>
        <v/>
      </c>
      <c r="O50" s="21" t="n">
        <v>3.033167499990668</v>
      </c>
      <c r="P50" s="6" t="n">
        <v>0</v>
      </c>
      <c r="Q50" s="8">
        <f>IF(H50=1,(I50+O50)/(J50+O50),"")</f>
        <v/>
      </c>
      <c r="R50" s="18">
        <f>IF(H50=1,LN(Q50),"")</f>
        <v/>
      </c>
      <c r="S50" s="22">
        <f>SUMIFS('Arm results'!$AI$2:$AI$201,'Arm results'!$C$2:$C$201,$C50,'Arm results'!$D$2:$D$201,"B0")</f>
        <v/>
      </c>
      <c r="T50" s="22">
        <f>SUMIFS('Arm results'!$AI$2:$AI$201,'Arm results'!$C$2:$C$201,$C50,'Arm results'!$D$2:$D$201,"A1")</f>
        <v/>
      </c>
      <c r="U50" s="8">
        <f>IF(H50=1,T50/S50,"")</f>
        <v/>
      </c>
      <c r="V50" s="23">
        <f>SUMIFS('Arm results'!$AJ$2:$AJ$201,'Arm results'!$C$2:$C$201,$C50,'Arm results'!$D$2:$D$201,"B0")</f>
        <v/>
      </c>
      <c r="W50" s="23">
        <f>SUMIFS('Arm results'!$AJ$2:$AJ$201,'Arm results'!$C$2:$C$201,$C50,'Arm results'!$D$2:$D$201,"A1")</f>
        <v/>
      </c>
      <c r="X50" s="5">
        <f>IF(V50&lt;&gt;W50,1,0)</f>
        <v/>
      </c>
    </row>
    <row r="51">
      <c r="A51" s="5" t="n">
        <v>1</v>
      </c>
      <c r="B51" s="5" t="n">
        <v>50</v>
      </c>
      <c r="C51" s="5" t="inlineStr">
        <is>
          <t>hard1_40</t>
        </is>
      </c>
      <c r="D51" s="5" t="inlineStr">
        <is>
          <t>hard1</t>
        </is>
      </c>
      <c r="E51" s="5" t="inlineStr">
        <is>
          <t>A1</t>
        </is>
      </c>
      <c r="F51" s="5" t="inlineStr">
        <is>
          <t>SUCCEEDED</t>
        </is>
      </c>
      <c r="G51" s="5" t="inlineStr">
        <is>
          <t>SUCCEEDED</t>
        </is>
      </c>
      <c r="H51" s="5">
        <f>IF(AND(F51="SUCCEEDED",G51="SUCCEEDED"),1,0)</f>
        <v/>
      </c>
      <c r="I51" s="17">
        <f>SUMIFS('Arm results'!$O$2:$O$201,'Arm results'!$C$2:$C$201,$C51,'Arm results'!$D$2:$D$201,"B0")</f>
        <v/>
      </c>
      <c r="J51" s="17">
        <f>SUMIFS('Arm results'!$O$2:$O$201,'Arm results'!$C$2:$C$201,$C51,'Arm results'!$D$2:$D$201,"A1")</f>
        <v/>
      </c>
      <c r="K51" s="8">
        <f>IF(H51=1,I51/J51,"")</f>
        <v/>
      </c>
      <c r="L51" s="18">
        <f>IF(H51=1,LN(K51),"")</f>
        <v/>
      </c>
      <c r="M51" s="19">
        <f>IF(H51=1,(I51-J51)/I51,"")</f>
        <v/>
      </c>
      <c r="N51" s="20">
        <f>IF(H51=1,(I51-SUMIFS('Arm results'!$X$2:$X$201,'Arm results'!$C$2:$C$201,$C51,'Arm results'!$D$2:$D$201,"B0"))/(J51-SUMIFS('Arm results'!$X$2:$X$201,'Arm results'!$C$2:$C$201,$C51,'Arm results'!$D$2:$D$201,"A1")),"")</f>
        <v/>
      </c>
      <c r="O51" s="21" t="n">
        <v>2.83201689994894</v>
      </c>
      <c r="P51" s="6" t="n">
        <v>1</v>
      </c>
      <c r="Q51" s="8">
        <f>IF(H51=1,(I51+O51)/(J51+O51),"")</f>
        <v/>
      </c>
      <c r="R51" s="18">
        <f>IF(H51=1,LN(Q51),"")</f>
        <v/>
      </c>
      <c r="S51" s="22">
        <f>SUMIFS('Arm results'!$AI$2:$AI$201,'Arm results'!$C$2:$C$201,$C51,'Arm results'!$D$2:$D$201,"B0")</f>
        <v/>
      </c>
      <c r="T51" s="22">
        <f>SUMIFS('Arm results'!$AI$2:$AI$201,'Arm results'!$C$2:$C$201,$C51,'Arm results'!$D$2:$D$201,"A1")</f>
        <v/>
      </c>
      <c r="U51" s="8">
        <f>IF(H51=1,T51/S51,"")</f>
        <v/>
      </c>
      <c r="V51" s="23">
        <f>SUMIFS('Arm results'!$AJ$2:$AJ$201,'Arm results'!$C$2:$C$201,$C51,'Arm results'!$D$2:$D$201,"B0")</f>
        <v/>
      </c>
      <c r="W51" s="23">
        <f>SUMIFS('Arm results'!$AJ$2:$AJ$201,'Arm results'!$C$2:$C$201,$C51,'Arm results'!$D$2:$D$201,"A1")</f>
        <v/>
      </c>
      <c r="X51" s="5">
        <f>IF(V51&lt;&gt;W51,1,0)</f>
        <v/>
      </c>
    </row>
    <row r="52">
      <c r="A52" s="5" t="n">
        <v>2</v>
      </c>
      <c r="B52" s="5" t="n">
        <v>1</v>
      </c>
      <c r="C52" s="5" t="inlineStr">
        <is>
          <t>hard3_20</t>
        </is>
      </c>
      <c r="D52" s="5" t="inlineStr">
        <is>
          <t>hard3</t>
        </is>
      </c>
      <c r="E52" s="5" t="inlineStr">
        <is>
          <t>B0</t>
        </is>
      </c>
      <c r="F52" s="5" t="inlineStr">
        <is>
          <t>SUCCEEDED</t>
        </is>
      </c>
      <c r="G52" s="5" t="inlineStr">
        <is>
          <t>SUCCEEDED</t>
        </is>
      </c>
      <c r="H52" s="5">
        <f>IF(AND(F52="SUCCEEDED",G52="SUCCEEDED"),1,0)</f>
        <v/>
      </c>
      <c r="I52" s="17">
        <f>SUMIFS('Arm results'!$O$2:$O$201,'Arm results'!$C$2:$C$201,$C52,'Arm results'!$D$2:$D$201,"B0")</f>
        <v/>
      </c>
      <c r="J52" s="17">
        <f>SUMIFS('Arm results'!$O$2:$O$201,'Arm results'!$C$2:$C$201,$C52,'Arm results'!$D$2:$D$201,"A1")</f>
        <v/>
      </c>
      <c r="K52" s="8">
        <f>IF(H52=1,I52/J52,"")</f>
        <v/>
      </c>
      <c r="L52" s="18">
        <f>IF(H52=1,LN(K52),"")</f>
        <v/>
      </c>
      <c r="M52" s="19">
        <f>IF(H52=1,(I52-J52)/I52,"")</f>
        <v/>
      </c>
      <c r="N52" s="20">
        <f>IF(H52=1,(I52-SUMIFS('Arm results'!$X$2:$X$201,'Arm results'!$C$2:$C$201,$C52,'Arm results'!$D$2:$D$201,"B0"))/(J52-SUMIFS('Arm results'!$X$2:$X$201,'Arm results'!$C$2:$C$201,$C52,'Arm results'!$D$2:$D$201,"A1")),"")</f>
        <v/>
      </c>
      <c r="O52" s="21" t="n">
        <v>3.066737300017849</v>
      </c>
      <c r="P52" s="6" t="n">
        <v>1</v>
      </c>
      <c r="Q52" s="8">
        <f>IF(H52=1,(I52+O52)/(J52+O52),"")</f>
        <v/>
      </c>
      <c r="R52" s="18">
        <f>IF(H52=1,LN(Q52),"")</f>
        <v/>
      </c>
      <c r="S52" s="22">
        <f>SUMIFS('Arm results'!$AI$2:$AI$201,'Arm results'!$C$2:$C$201,$C52,'Arm results'!$D$2:$D$201,"B0")</f>
        <v/>
      </c>
      <c r="T52" s="22">
        <f>SUMIFS('Arm results'!$AI$2:$AI$201,'Arm results'!$C$2:$C$201,$C52,'Arm results'!$D$2:$D$201,"A1")</f>
        <v/>
      </c>
      <c r="U52" s="8">
        <f>IF(H52=1,T52/S52,"")</f>
        <v/>
      </c>
      <c r="V52" s="23">
        <f>SUMIFS('Arm results'!$AJ$2:$AJ$201,'Arm results'!$C$2:$C$201,$C52,'Arm results'!$D$2:$D$201,"B0")</f>
        <v/>
      </c>
      <c r="W52" s="23">
        <f>SUMIFS('Arm results'!$AJ$2:$AJ$201,'Arm results'!$C$2:$C$201,$C52,'Arm results'!$D$2:$D$201,"A1")</f>
        <v/>
      </c>
      <c r="X52" s="5">
        <f>IF(V52&lt;&gt;W52,1,0)</f>
        <v/>
      </c>
    </row>
    <row r="53">
      <c r="A53" s="5" t="n">
        <v>2</v>
      </c>
      <c r="B53" s="5" t="n">
        <v>2</v>
      </c>
      <c r="C53" s="5" t="inlineStr">
        <is>
          <t>easy1_32</t>
        </is>
      </c>
      <c r="D53" s="5" t="inlineStr">
        <is>
          <t>easy1</t>
        </is>
      </c>
      <c r="E53" s="5" t="inlineStr">
        <is>
          <t>A1</t>
        </is>
      </c>
      <c r="F53" s="5" t="inlineStr">
        <is>
          <t>SUCCEEDED</t>
        </is>
      </c>
      <c r="G53" s="5" t="inlineStr">
        <is>
          <t>SUCCEEDED</t>
        </is>
      </c>
      <c r="H53" s="5">
        <f>IF(AND(F53="SUCCEEDED",G53="SUCCEEDED"),1,0)</f>
        <v/>
      </c>
      <c r="I53" s="17">
        <f>SUMIFS('Arm results'!$O$2:$O$201,'Arm results'!$C$2:$C$201,$C53,'Arm results'!$D$2:$D$201,"B0")</f>
        <v/>
      </c>
      <c r="J53" s="17">
        <f>SUMIFS('Arm results'!$O$2:$O$201,'Arm results'!$C$2:$C$201,$C53,'Arm results'!$D$2:$D$201,"A1")</f>
        <v/>
      </c>
      <c r="K53" s="8">
        <f>IF(H53=1,I53/J53,"")</f>
        <v/>
      </c>
      <c r="L53" s="18">
        <f>IF(H53=1,LN(K53),"")</f>
        <v/>
      </c>
      <c r="M53" s="19">
        <f>IF(H53=1,(I53-J53)/I53,"")</f>
        <v/>
      </c>
      <c r="N53" s="20">
        <f>IF(H53=1,(I53-SUMIFS('Arm results'!$X$2:$X$201,'Arm results'!$C$2:$C$201,$C53,'Arm results'!$D$2:$D$201,"B0"))/(J53-SUMIFS('Arm results'!$X$2:$X$201,'Arm results'!$C$2:$C$201,$C53,'Arm results'!$D$2:$D$201,"A1")),"")</f>
        <v/>
      </c>
      <c r="O53" s="21" t="n">
        <v>2.106413100031205</v>
      </c>
      <c r="P53" s="6" t="n">
        <v>1</v>
      </c>
      <c r="Q53" s="8">
        <f>IF(H53=1,(I53+O53)/(J53+O53),"")</f>
        <v/>
      </c>
      <c r="R53" s="18">
        <f>IF(H53=1,LN(Q53),"")</f>
        <v/>
      </c>
      <c r="S53" s="22">
        <f>SUMIFS('Arm results'!$AI$2:$AI$201,'Arm results'!$C$2:$C$201,$C53,'Arm results'!$D$2:$D$201,"B0")</f>
        <v/>
      </c>
      <c r="T53" s="22">
        <f>SUMIFS('Arm results'!$AI$2:$AI$201,'Arm results'!$C$2:$C$201,$C53,'Arm results'!$D$2:$D$201,"A1")</f>
        <v/>
      </c>
      <c r="U53" s="8">
        <f>IF(H53=1,T53/S53,"")</f>
        <v/>
      </c>
      <c r="V53" s="23">
        <f>SUMIFS('Arm results'!$AJ$2:$AJ$201,'Arm results'!$C$2:$C$201,$C53,'Arm results'!$D$2:$D$201,"B0")</f>
        <v/>
      </c>
      <c r="W53" s="23">
        <f>SUMIFS('Arm results'!$AJ$2:$AJ$201,'Arm results'!$C$2:$C$201,$C53,'Arm results'!$D$2:$D$201,"A1")</f>
        <v/>
      </c>
      <c r="X53" s="5">
        <f>IF(V53&lt;&gt;W53,1,0)</f>
        <v/>
      </c>
    </row>
    <row r="54">
      <c r="A54" s="5" t="n">
        <v>2</v>
      </c>
      <c r="B54" s="5" t="n">
        <v>3</v>
      </c>
      <c r="C54" s="5" t="inlineStr">
        <is>
          <t>med1_26</t>
        </is>
      </c>
      <c r="D54" s="5" t="inlineStr">
        <is>
          <t>med1</t>
        </is>
      </c>
      <c r="E54" s="5" t="inlineStr">
        <is>
          <t>B0</t>
        </is>
      </c>
      <c r="F54" s="5" t="inlineStr">
        <is>
          <t>SUCCEEDED</t>
        </is>
      </c>
      <c r="G54" s="5" t="inlineStr">
        <is>
          <t>SUCCEEDED</t>
        </is>
      </c>
      <c r="H54" s="5">
        <f>IF(AND(F54="SUCCEEDED",G54="SUCCEEDED"),1,0)</f>
        <v/>
      </c>
      <c r="I54" s="17">
        <f>SUMIFS('Arm results'!$O$2:$O$201,'Arm results'!$C$2:$C$201,$C54,'Arm results'!$D$2:$D$201,"B0")</f>
        <v/>
      </c>
      <c r="J54" s="17">
        <f>SUMIFS('Arm results'!$O$2:$O$201,'Arm results'!$C$2:$C$201,$C54,'Arm results'!$D$2:$D$201,"A1")</f>
        <v/>
      </c>
      <c r="K54" s="8">
        <f>IF(H54=1,I54/J54,"")</f>
        <v/>
      </c>
      <c r="L54" s="18">
        <f>IF(H54=1,LN(K54),"")</f>
        <v/>
      </c>
      <c r="M54" s="19">
        <f>IF(H54=1,(I54-J54)/I54,"")</f>
        <v/>
      </c>
      <c r="N54" s="20">
        <f>IF(H54=1,(I54-SUMIFS('Arm results'!$X$2:$X$201,'Arm results'!$C$2:$C$201,$C54,'Arm results'!$D$2:$D$201,"B0"))/(J54-SUMIFS('Arm results'!$X$2:$X$201,'Arm results'!$C$2:$C$201,$C54,'Arm results'!$D$2:$D$201,"A1")),"")</f>
        <v/>
      </c>
      <c r="O54" s="21" t="n">
        <v>2.265645499981474</v>
      </c>
      <c r="P54" s="6" t="n">
        <v>1</v>
      </c>
      <c r="Q54" s="8">
        <f>IF(H54=1,(I54+O54)/(J54+O54),"")</f>
        <v/>
      </c>
      <c r="R54" s="18">
        <f>IF(H54=1,LN(Q54),"")</f>
        <v/>
      </c>
      <c r="S54" s="22">
        <f>SUMIFS('Arm results'!$AI$2:$AI$201,'Arm results'!$C$2:$C$201,$C54,'Arm results'!$D$2:$D$201,"B0")</f>
        <v/>
      </c>
      <c r="T54" s="22">
        <f>SUMIFS('Arm results'!$AI$2:$AI$201,'Arm results'!$C$2:$C$201,$C54,'Arm results'!$D$2:$D$201,"A1")</f>
        <v/>
      </c>
      <c r="U54" s="8">
        <f>IF(H54=1,T54/S54,"")</f>
        <v/>
      </c>
      <c r="V54" s="23">
        <f>SUMIFS('Arm results'!$AJ$2:$AJ$201,'Arm results'!$C$2:$C$201,$C54,'Arm results'!$D$2:$D$201,"B0")</f>
        <v/>
      </c>
      <c r="W54" s="23">
        <f>SUMIFS('Arm results'!$AJ$2:$AJ$201,'Arm results'!$C$2:$C$201,$C54,'Arm results'!$D$2:$D$201,"A1")</f>
        <v/>
      </c>
      <c r="X54" s="5">
        <f>IF(V54&lt;&gt;W54,1,0)</f>
        <v/>
      </c>
    </row>
    <row r="55">
      <c r="A55" s="5" t="n">
        <v>2</v>
      </c>
      <c r="B55" s="5" t="n">
        <v>4</v>
      </c>
      <c r="C55" s="5" t="inlineStr">
        <is>
          <t>protein_1CRN_query_10_mask_4</t>
        </is>
      </c>
      <c r="D55" s="5" t="inlineStr">
        <is>
          <t>hard4</t>
        </is>
      </c>
      <c r="E55" s="5" t="inlineStr">
        <is>
          <t>A1</t>
        </is>
      </c>
      <c r="F55" s="5" t="inlineStr">
        <is>
          <t>SUCCEEDED</t>
        </is>
      </c>
      <c r="G55" s="5" t="inlineStr">
        <is>
          <t>SUCCEEDED</t>
        </is>
      </c>
      <c r="H55" s="5">
        <f>IF(AND(F55="SUCCEEDED",G55="SUCCEEDED"),1,0)</f>
        <v/>
      </c>
      <c r="I55" s="17">
        <f>SUMIFS('Arm results'!$O$2:$O$201,'Arm results'!$C$2:$C$201,$C55,'Arm results'!$D$2:$D$201,"B0")</f>
        <v/>
      </c>
      <c r="J55" s="17">
        <f>SUMIFS('Arm results'!$O$2:$O$201,'Arm results'!$C$2:$C$201,$C55,'Arm results'!$D$2:$D$201,"A1")</f>
        <v/>
      </c>
      <c r="K55" s="8">
        <f>IF(H55=1,I55/J55,"")</f>
        <v/>
      </c>
      <c r="L55" s="18">
        <f>IF(H55=1,LN(K55),"")</f>
        <v/>
      </c>
      <c r="M55" s="19">
        <f>IF(H55=1,(I55-J55)/I55,"")</f>
        <v/>
      </c>
      <c r="N55" s="20">
        <f>IF(H55=1,(I55-SUMIFS('Arm results'!$X$2:$X$201,'Arm results'!$C$2:$C$201,$C55,'Arm results'!$D$2:$D$201,"B0"))/(J55-SUMIFS('Arm results'!$X$2:$X$201,'Arm results'!$C$2:$C$201,$C55,'Arm results'!$D$2:$D$201,"A1")),"")</f>
        <v/>
      </c>
      <c r="O55" s="21" t="n">
        <v>2.314082900003996</v>
      </c>
      <c r="P55" s="6" t="n">
        <v>0</v>
      </c>
      <c r="Q55" s="8">
        <f>IF(H55=1,(I55+O55)/(J55+O55),"")</f>
        <v/>
      </c>
      <c r="R55" s="18">
        <f>IF(H55=1,LN(Q55),"")</f>
        <v/>
      </c>
      <c r="S55" s="22">
        <f>SUMIFS('Arm results'!$AI$2:$AI$201,'Arm results'!$C$2:$C$201,$C55,'Arm results'!$D$2:$D$201,"B0")</f>
        <v/>
      </c>
      <c r="T55" s="22">
        <f>SUMIFS('Arm results'!$AI$2:$AI$201,'Arm results'!$C$2:$C$201,$C55,'Arm results'!$D$2:$D$201,"A1")</f>
        <v/>
      </c>
      <c r="U55" s="8">
        <f>IF(H55=1,T55/S55,"")</f>
        <v/>
      </c>
      <c r="V55" s="23">
        <f>SUMIFS('Arm results'!$AJ$2:$AJ$201,'Arm results'!$C$2:$C$201,$C55,'Arm results'!$D$2:$D$201,"B0")</f>
        <v/>
      </c>
      <c r="W55" s="23">
        <f>SUMIFS('Arm results'!$AJ$2:$AJ$201,'Arm results'!$C$2:$C$201,$C55,'Arm results'!$D$2:$D$201,"A1")</f>
        <v/>
      </c>
      <c r="X55" s="5">
        <f>IF(V55&lt;&gt;W55,1,0)</f>
        <v/>
      </c>
    </row>
    <row r="56">
      <c r="A56" s="5" t="n">
        <v>2</v>
      </c>
      <c r="B56" s="5" t="n">
        <v>5</v>
      </c>
      <c r="C56" s="5" t="inlineStr">
        <is>
          <t>easy1_0</t>
        </is>
      </c>
      <c r="D56" s="5" t="inlineStr">
        <is>
          <t>easy1</t>
        </is>
      </c>
      <c r="E56" s="5" t="inlineStr">
        <is>
          <t>B0</t>
        </is>
      </c>
      <c r="F56" s="5" t="inlineStr">
        <is>
          <t>SUCCEEDED</t>
        </is>
      </c>
      <c r="G56" s="5" t="inlineStr">
        <is>
          <t>SUCCEEDED</t>
        </is>
      </c>
      <c r="H56" s="5">
        <f>IF(AND(F56="SUCCEEDED",G56="SUCCEEDED"),1,0)</f>
        <v/>
      </c>
      <c r="I56" s="17">
        <f>SUMIFS('Arm results'!$O$2:$O$201,'Arm results'!$C$2:$C$201,$C56,'Arm results'!$D$2:$D$201,"B0")</f>
        <v/>
      </c>
      <c r="J56" s="17">
        <f>SUMIFS('Arm results'!$O$2:$O$201,'Arm results'!$C$2:$C$201,$C56,'Arm results'!$D$2:$D$201,"A1")</f>
        <v/>
      </c>
      <c r="K56" s="8">
        <f>IF(H56=1,I56/J56,"")</f>
        <v/>
      </c>
      <c r="L56" s="18">
        <f>IF(H56=1,LN(K56),"")</f>
        <v/>
      </c>
      <c r="M56" s="19">
        <f>IF(H56=1,(I56-J56)/I56,"")</f>
        <v/>
      </c>
      <c r="N56" s="20">
        <f>IF(H56=1,(I56-SUMIFS('Arm results'!$X$2:$X$201,'Arm results'!$C$2:$C$201,$C56,'Arm results'!$D$2:$D$201,"B0"))/(J56-SUMIFS('Arm results'!$X$2:$X$201,'Arm results'!$C$2:$C$201,$C56,'Arm results'!$D$2:$D$201,"A1")),"")</f>
        <v/>
      </c>
      <c r="O56" s="21" t="n">
        <v>2.196288699982688</v>
      </c>
      <c r="P56" s="6" t="n">
        <v>1</v>
      </c>
      <c r="Q56" s="8">
        <f>IF(H56=1,(I56+O56)/(J56+O56),"")</f>
        <v/>
      </c>
      <c r="R56" s="18">
        <f>IF(H56=1,LN(Q56),"")</f>
        <v/>
      </c>
      <c r="S56" s="22">
        <f>SUMIFS('Arm results'!$AI$2:$AI$201,'Arm results'!$C$2:$C$201,$C56,'Arm results'!$D$2:$D$201,"B0")</f>
        <v/>
      </c>
      <c r="T56" s="22">
        <f>SUMIFS('Arm results'!$AI$2:$AI$201,'Arm results'!$C$2:$C$201,$C56,'Arm results'!$D$2:$D$201,"A1")</f>
        <v/>
      </c>
      <c r="U56" s="8">
        <f>IF(H56=1,T56/S56,"")</f>
        <v/>
      </c>
      <c r="V56" s="23">
        <f>SUMIFS('Arm results'!$AJ$2:$AJ$201,'Arm results'!$C$2:$C$201,$C56,'Arm results'!$D$2:$D$201,"B0")</f>
        <v/>
      </c>
      <c r="W56" s="23">
        <f>SUMIFS('Arm results'!$AJ$2:$AJ$201,'Arm results'!$C$2:$C$201,$C56,'Arm results'!$D$2:$D$201,"A1")</f>
        <v/>
      </c>
      <c r="X56" s="5">
        <f>IF(V56&lt;&gt;W56,1,0)</f>
        <v/>
      </c>
    </row>
    <row r="57">
      <c r="A57" s="5" t="n">
        <v>2</v>
      </c>
      <c r="B57" s="5" t="n">
        <v>6</v>
      </c>
      <c r="C57" s="5" t="inlineStr">
        <is>
          <t>easy1_10</t>
        </is>
      </c>
      <c r="D57" s="5" t="inlineStr">
        <is>
          <t>easy1</t>
        </is>
      </c>
      <c r="E57" s="5" t="inlineStr">
        <is>
          <t>A1</t>
        </is>
      </c>
      <c r="F57" s="5" t="inlineStr">
        <is>
          <t>SUCCEEDED</t>
        </is>
      </c>
      <c r="G57" s="5" t="inlineStr">
        <is>
          <t>SUCCEEDED</t>
        </is>
      </c>
      <c r="H57" s="5">
        <f>IF(AND(F57="SUCCEEDED",G57="SUCCEEDED"),1,0)</f>
        <v/>
      </c>
      <c r="I57" s="17">
        <f>SUMIFS('Arm results'!$O$2:$O$201,'Arm results'!$C$2:$C$201,$C57,'Arm results'!$D$2:$D$201,"B0")</f>
        <v/>
      </c>
      <c r="J57" s="17">
        <f>SUMIFS('Arm results'!$O$2:$O$201,'Arm results'!$C$2:$C$201,$C57,'Arm results'!$D$2:$D$201,"A1")</f>
        <v/>
      </c>
      <c r="K57" s="8">
        <f>IF(H57=1,I57/J57,"")</f>
        <v/>
      </c>
      <c r="L57" s="18">
        <f>IF(H57=1,LN(K57),"")</f>
        <v/>
      </c>
      <c r="M57" s="19">
        <f>IF(H57=1,(I57-J57)/I57,"")</f>
        <v/>
      </c>
      <c r="N57" s="20">
        <f>IF(H57=1,(I57-SUMIFS('Arm results'!$X$2:$X$201,'Arm results'!$C$2:$C$201,$C57,'Arm results'!$D$2:$D$201,"B0"))/(J57-SUMIFS('Arm results'!$X$2:$X$201,'Arm results'!$C$2:$C$201,$C57,'Arm results'!$D$2:$D$201,"A1")),"")</f>
        <v/>
      </c>
      <c r="O57" s="21" t="n">
        <v>1.742217600054573</v>
      </c>
      <c r="P57" s="6" t="n">
        <v>1</v>
      </c>
      <c r="Q57" s="8">
        <f>IF(H57=1,(I57+O57)/(J57+O57),"")</f>
        <v/>
      </c>
      <c r="R57" s="18">
        <f>IF(H57=1,LN(Q57),"")</f>
        <v/>
      </c>
      <c r="S57" s="22">
        <f>SUMIFS('Arm results'!$AI$2:$AI$201,'Arm results'!$C$2:$C$201,$C57,'Arm results'!$D$2:$D$201,"B0")</f>
        <v/>
      </c>
      <c r="T57" s="22">
        <f>SUMIFS('Arm results'!$AI$2:$AI$201,'Arm results'!$C$2:$C$201,$C57,'Arm results'!$D$2:$D$201,"A1")</f>
        <v/>
      </c>
      <c r="U57" s="8">
        <f>IF(H57=1,T57/S57,"")</f>
        <v/>
      </c>
      <c r="V57" s="23">
        <f>SUMIFS('Arm results'!$AJ$2:$AJ$201,'Arm results'!$C$2:$C$201,$C57,'Arm results'!$D$2:$D$201,"B0")</f>
        <v/>
      </c>
      <c r="W57" s="23">
        <f>SUMIFS('Arm results'!$AJ$2:$AJ$201,'Arm results'!$C$2:$C$201,$C57,'Arm results'!$D$2:$D$201,"A1")</f>
        <v/>
      </c>
      <c r="X57" s="5">
        <f>IF(V57&lt;&gt;W57,1,0)</f>
        <v/>
      </c>
    </row>
    <row r="58">
      <c r="A58" s="5" t="n">
        <v>2</v>
      </c>
      <c r="B58" s="5" t="n">
        <v>7</v>
      </c>
      <c r="C58" s="5" t="inlineStr">
        <is>
          <t>easy2_30</t>
        </is>
      </c>
      <c r="D58" s="5" t="inlineStr">
        <is>
          <t>easy2</t>
        </is>
      </c>
      <c r="E58" s="5" t="inlineStr">
        <is>
          <t>B0</t>
        </is>
      </c>
      <c r="F58" s="5" t="inlineStr">
        <is>
          <t>SUCCEEDED</t>
        </is>
      </c>
      <c r="G58" s="5" t="inlineStr">
        <is>
          <t>SUCCEEDED</t>
        </is>
      </c>
      <c r="H58" s="5">
        <f>IF(AND(F58="SUCCEEDED",G58="SUCCEEDED"),1,0)</f>
        <v/>
      </c>
      <c r="I58" s="17">
        <f>SUMIFS('Arm results'!$O$2:$O$201,'Arm results'!$C$2:$C$201,$C58,'Arm results'!$D$2:$D$201,"B0")</f>
        <v/>
      </c>
      <c r="J58" s="17">
        <f>SUMIFS('Arm results'!$O$2:$O$201,'Arm results'!$C$2:$C$201,$C58,'Arm results'!$D$2:$D$201,"A1")</f>
        <v/>
      </c>
      <c r="K58" s="8">
        <f>IF(H58=1,I58/J58,"")</f>
        <v/>
      </c>
      <c r="L58" s="18">
        <f>IF(H58=1,LN(K58),"")</f>
        <v/>
      </c>
      <c r="M58" s="19">
        <f>IF(H58=1,(I58-J58)/I58,"")</f>
        <v/>
      </c>
      <c r="N58" s="20">
        <f>IF(H58=1,(I58-SUMIFS('Arm results'!$X$2:$X$201,'Arm results'!$C$2:$C$201,$C58,'Arm results'!$D$2:$D$201,"B0"))/(J58-SUMIFS('Arm results'!$X$2:$X$201,'Arm results'!$C$2:$C$201,$C58,'Arm results'!$D$2:$D$201,"A1")),"")</f>
        <v/>
      </c>
      <c r="O58" s="21" t="n">
        <v>1.911263199988753</v>
      </c>
      <c r="P58" s="6" t="n">
        <v>0</v>
      </c>
      <c r="Q58" s="8">
        <f>IF(H58=1,(I58+O58)/(J58+O58),"")</f>
        <v/>
      </c>
      <c r="R58" s="18">
        <f>IF(H58=1,LN(Q58),"")</f>
        <v/>
      </c>
      <c r="S58" s="22">
        <f>SUMIFS('Arm results'!$AI$2:$AI$201,'Arm results'!$C$2:$C$201,$C58,'Arm results'!$D$2:$D$201,"B0")</f>
        <v/>
      </c>
      <c r="T58" s="22">
        <f>SUMIFS('Arm results'!$AI$2:$AI$201,'Arm results'!$C$2:$C$201,$C58,'Arm results'!$D$2:$D$201,"A1")</f>
        <v/>
      </c>
      <c r="U58" s="8">
        <f>IF(H58=1,T58/S58,"")</f>
        <v/>
      </c>
      <c r="V58" s="23">
        <f>SUMIFS('Arm results'!$AJ$2:$AJ$201,'Arm results'!$C$2:$C$201,$C58,'Arm results'!$D$2:$D$201,"B0")</f>
        <v/>
      </c>
      <c r="W58" s="23">
        <f>SUMIFS('Arm results'!$AJ$2:$AJ$201,'Arm results'!$C$2:$C$201,$C58,'Arm results'!$D$2:$D$201,"A1")</f>
        <v/>
      </c>
      <c r="X58" s="5">
        <f>IF(V58&lt;&gt;W58,1,0)</f>
        <v/>
      </c>
    </row>
    <row r="59">
      <c r="A59" s="5" t="n">
        <v>2</v>
      </c>
      <c r="B59" s="5" t="n">
        <v>8</v>
      </c>
      <c r="C59" s="5" t="inlineStr">
        <is>
          <t>easy2_6</t>
        </is>
      </c>
      <c r="D59" s="5" t="inlineStr">
        <is>
          <t>easy2</t>
        </is>
      </c>
      <c r="E59" s="5" t="inlineStr">
        <is>
          <t>A1</t>
        </is>
      </c>
      <c r="F59" s="5" t="inlineStr">
        <is>
          <t>SUCCEEDED</t>
        </is>
      </c>
      <c r="G59" s="5" t="inlineStr">
        <is>
          <t>SUCCEEDED</t>
        </is>
      </c>
      <c r="H59" s="5">
        <f>IF(AND(F59="SUCCEEDED",G59="SUCCEEDED"),1,0)</f>
        <v/>
      </c>
      <c r="I59" s="17">
        <f>SUMIFS('Arm results'!$O$2:$O$201,'Arm results'!$C$2:$C$201,$C59,'Arm results'!$D$2:$D$201,"B0")</f>
        <v/>
      </c>
      <c r="J59" s="17">
        <f>SUMIFS('Arm results'!$O$2:$O$201,'Arm results'!$C$2:$C$201,$C59,'Arm results'!$D$2:$D$201,"A1")</f>
        <v/>
      </c>
      <c r="K59" s="8">
        <f>IF(H59=1,I59/J59,"")</f>
        <v/>
      </c>
      <c r="L59" s="18">
        <f>IF(H59=1,LN(K59),"")</f>
        <v/>
      </c>
      <c r="M59" s="19">
        <f>IF(H59=1,(I59-J59)/I59,"")</f>
        <v/>
      </c>
      <c r="N59" s="20">
        <f>IF(H59=1,(I59-SUMIFS('Arm results'!$X$2:$X$201,'Arm results'!$C$2:$C$201,$C59,'Arm results'!$D$2:$D$201,"B0"))/(J59-SUMIFS('Arm results'!$X$2:$X$201,'Arm results'!$C$2:$C$201,$C59,'Arm results'!$D$2:$D$201,"A1")),"")</f>
        <v/>
      </c>
      <c r="O59" s="21" t="n">
        <v>1.633537199988496</v>
      </c>
      <c r="P59" s="6" t="n">
        <v>1</v>
      </c>
      <c r="Q59" s="8">
        <f>IF(H59=1,(I59+O59)/(J59+O59),"")</f>
        <v/>
      </c>
      <c r="R59" s="18">
        <f>IF(H59=1,LN(Q59),"")</f>
        <v/>
      </c>
      <c r="S59" s="22">
        <f>SUMIFS('Arm results'!$AI$2:$AI$201,'Arm results'!$C$2:$C$201,$C59,'Arm results'!$D$2:$D$201,"B0")</f>
        <v/>
      </c>
      <c r="T59" s="22">
        <f>SUMIFS('Arm results'!$AI$2:$AI$201,'Arm results'!$C$2:$C$201,$C59,'Arm results'!$D$2:$D$201,"A1")</f>
        <v/>
      </c>
      <c r="U59" s="8">
        <f>IF(H59=1,T59/S59,"")</f>
        <v/>
      </c>
      <c r="V59" s="23">
        <f>SUMIFS('Arm results'!$AJ$2:$AJ$201,'Arm results'!$C$2:$C$201,$C59,'Arm results'!$D$2:$D$201,"B0")</f>
        <v/>
      </c>
      <c r="W59" s="23">
        <f>SUMIFS('Arm results'!$AJ$2:$AJ$201,'Arm results'!$C$2:$C$201,$C59,'Arm results'!$D$2:$D$201,"A1")</f>
        <v/>
      </c>
      <c r="X59" s="5">
        <f>IF(V59&lt;&gt;W59,1,0)</f>
        <v/>
      </c>
    </row>
    <row r="60">
      <c r="A60" s="5" t="n">
        <v>2</v>
      </c>
      <c r="B60" s="5" t="n">
        <v>9</v>
      </c>
      <c r="C60" s="5" t="inlineStr">
        <is>
          <t>hard1_28</t>
        </is>
      </c>
      <c r="D60" s="5" t="inlineStr">
        <is>
          <t>hard1</t>
        </is>
      </c>
      <c r="E60" s="5" t="inlineStr">
        <is>
          <t>B0</t>
        </is>
      </c>
      <c r="F60" s="5" t="inlineStr">
        <is>
          <t>SUCCEEDED</t>
        </is>
      </c>
      <c r="G60" s="5" t="inlineStr">
        <is>
          <t>SUCCEEDED</t>
        </is>
      </c>
      <c r="H60" s="5">
        <f>IF(AND(F60="SUCCEEDED",G60="SUCCEEDED"),1,0)</f>
        <v/>
      </c>
      <c r="I60" s="17">
        <f>SUMIFS('Arm results'!$O$2:$O$201,'Arm results'!$C$2:$C$201,$C60,'Arm results'!$D$2:$D$201,"B0")</f>
        <v/>
      </c>
      <c r="J60" s="17">
        <f>SUMIFS('Arm results'!$O$2:$O$201,'Arm results'!$C$2:$C$201,$C60,'Arm results'!$D$2:$D$201,"A1")</f>
        <v/>
      </c>
      <c r="K60" s="8">
        <f>IF(H60=1,I60/J60,"")</f>
        <v/>
      </c>
      <c r="L60" s="18">
        <f>IF(H60=1,LN(K60),"")</f>
        <v/>
      </c>
      <c r="M60" s="19">
        <f>IF(H60=1,(I60-J60)/I60,"")</f>
        <v/>
      </c>
      <c r="N60" s="20">
        <f>IF(H60=1,(I60-SUMIFS('Arm results'!$X$2:$X$201,'Arm results'!$C$2:$C$201,$C60,'Arm results'!$D$2:$D$201,"B0"))/(J60-SUMIFS('Arm results'!$X$2:$X$201,'Arm results'!$C$2:$C$201,$C60,'Arm results'!$D$2:$D$201,"A1")),"")</f>
        <v/>
      </c>
      <c r="O60" s="21" t="n">
        <v>2.968832799990196</v>
      </c>
      <c r="P60" s="6" t="n">
        <v>1</v>
      </c>
      <c r="Q60" s="8">
        <f>IF(H60=1,(I60+O60)/(J60+O60),"")</f>
        <v/>
      </c>
      <c r="R60" s="18">
        <f>IF(H60=1,LN(Q60),"")</f>
        <v/>
      </c>
      <c r="S60" s="22">
        <f>SUMIFS('Arm results'!$AI$2:$AI$201,'Arm results'!$C$2:$C$201,$C60,'Arm results'!$D$2:$D$201,"B0")</f>
        <v/>
      </c>
      <c r="T60" s="22">
        <f>SUMIFS('Arm results'!$AI$2:$AI$201,'Arm results'!$C$2:$C$201,$C60,'Arm results'!$D$2:$D$201,"A1")</f>
        <v/>
      </c>
      <c r="U60" s="8">
        <f>IF(H60=1,T60/S60,"")</f>
        <v/>
      </c>
      <c r="V60" s="23">
        <f>SUMIFS('Arm results'!$AJ$2:$AJ$201,'Arm results'!$C$2:$C$201,$C60,'Arm results'!$D$2:$D$201,"B0")</f>
        <v/>
      </c>
      <c r="W60" s="23">
        <f>SUMIFS('Arm results'!$AJ$2:$AJ$201,'Arm results'!$C$2:$C$201,$C60,'Arm results'!$D$2:$D$201,"A1")</f>
        <v/>
      </c>
      <c r="X60" s="5">
        <f>IF(V60&lt;&gt;W60,1,0)</f>
        <v/>
      </c>
    </row>
    <row r="61">
      <c r="A61" s="5" t="n">
        <v>2</v>
      </c>
      <c r="B61" s="5" t="n">
        <v>10</v>
      </c>
      <c r="C61" s="5" t="inlineStr">
        <is>
          <t>easy1_48</t>
        </is>
      </c>
      <c r="D61" s="5" t="inlineStr">
        <is>
          <t>easy1</t>
        </is>
      </c>
      <c r="E61" s="5" t="inlineStr">
        <is>
          <t>A1</t>
        </is>
      </c>
      <c r="F61" s="5" t="inlineStr">
        <is>
          <t>SUCCEEDED</t>
        </is>
      </c>
      <c r="G61" s="5" t="inlineStr">
        <is>
          <t>SUCCEEDED</t>
        </is>
      </c>
      <c r="H61" s="5">
        <f>IF(AND(F61="SUCCEEDED",G61="SUCCEEDED"),1,0)</f>
        <v/>
      </c>
      <c r="I61" s="17">
        <f>SUMIFS('Arm results'!$O$2:$O$201,'Arm results'!$C$2:$C$201,$C61,'Arm results'!$D$2:$D$201,"B0")</f>
        <v/>
      </c>
      <c r="J61" s="17">
        <f>SUMIFS('Arm results'!$O$2:$O$201,'Arm results'!$C$2:$C$201,$C61,'Arm results'!$D$2:$D$201,"A1")</f>
        <v/>
      </c>
      <c r="K61" s="8">
        <f>IF(H61=1,I61/J61,"")</f>
        <v/>
      </c>
      <c r="L61" s="18">
        <f>IF(H61=1,LN(K61),"")</f>
        <v/>
      </c>
      <c r="M61" s="19">
        <f>IF(H61=1,(I61-J61)/I61,"")</f>
        <v/>
      </c>
      <c r="N61" s="20">
        <f>IF(H61=1,(I61-SUMIFS('Arm results'!$X$2:$X$201,'Arm results'!$C$2:$C$201,$C61,'Arm results'!$D$2:$D$201,"B0"))/(J61-SUMIFS('Arm results'!$X$2:$X$201,'Arm results'!$C$2:$C$201,$C61,'Arm results'!$D$2:$D$201,"A1")),"")</f>
        <v/>
      </c>
      <c r="O61" s="21" t="n">
        <v>2.149430000048596</v>
      </c>
      <c r="P61" s="6" t="n">
        <v>1</v>
      </c>
      <c r="Q61" s="8">
        <f>IF(H61=1,(I61+O61)/(J61+O61),"")</f>
        <v/>
      </c>
      <c r="R61" s="18">
        <f>IF(H61=1,LN(Q61),"")</f>
        <v/>
      </c>
      <c r="S61" s="22">
        <f>SUMIFS('Arm results'!$AI$2:$AI$201,'Arm results'!$C$2:$C$201,$C61,'Arm results'!$D$2:$D$201,"B0")</f>
        <v/>
      </c>
      <c r="T61" s="22">
        <f>SUMIFS('Arm results'!$AI$2:$AI$201,'Arm results'!$C$2:$C$201,$C61,'Arm results'!$D$2:$D$201,"A1")</f>
        <v/>
      </c>
      <c r="U61" s="8">
        <f>IF(H61=1,T61/S61,"")</f>
        <v/>
      </c>
      <c r="V61" s="23">
        <f>SUMIFS('Arm results'!$AJ$2:$AJ$201,'Arm results'!$C$2:$C$201,$C61,'Arm results'!$D$2:$D$201,"B0")</f>
        <v/>
      </c>
      <c r="W61" s="23">
        <f>SUMIFS('Arm results'!$AJ$2:$AJ$201,'Arm results'!$C$2:$C$201,$C61,'Arm results'!$D$2:$D$201,"A1")</f>
        <v/>
      </c>
      <c r="X61" s="5">
        <f>IF(V61&lt;&gt;W61,1,0)</f>
        <v/>
      </c>
    </row>
    <row r="62">
      <c r="A62" s="5" t="n">
        <v>2</v>
      </c>
      <c r="B62" s="5" t="n">
        <v>11</v>
      </c>
      <c r="C62" s="5" t="inlineStr">
        <is>
          <t>easy2_49</t>
        </is>
      </c>
      <c r="D62" s="5" t="inlineStr">
        <is>
          <t>easy2</t>
        </is>
      </c>
      <c r="E62" s="5" t="inlineStr">
        <is>
          <t>B0</t>
        </is>
      </c>
      <c r="F62" s="5" t="inlineStr">
        <is>
          <t>SUCCEEDED</t>
        </is>
      </c>
      <c r="G62" s="5" t="inlineStr">
        <is>
          <t>SUCCEEDED</t>
        </is>
      </c>
      <c r="H62" s="5">
        <f>IF(AND(F62="SUCCEEDED",G62="SUCCEEDED"),1,0)</f>
        <v/>
      </c>
      <c r="I62" s="17">
        <f>SUMIFS('Arm results'!$O$2:$O$201,'Arm results'!$C$2:$C$201,$C62,'Arm results'!$D$2:$D$201,"B0")</f>
        <v/>
      </c>
      <c r="J62" s="17">
        <f>SUMIFS('Arm results'!$O$2:$O$201,'Arm results'!$C$2:$C$201,$C62,'Arm results'!$D$2:$D$201,"A1")</f>
        <v/>
      </c>
      <c r="K62" s="8">
        <f>IF(H62=1,I62/J62,"")</f>
        <v/>
      </c>
      <c r="L62" s="18">
        <f>IF(H62=1,LN(K62),"")</f>
        <v/>
      </c>
      <c r="M62" s="19">
        <f>IF(H62=1,(I62-J62)/I62,"")</f>
        <v/>
      </c>
      <c r="N62" s="20">
        <f>IF(H62=1,(I62-SUMIFS('Arm results'!$X$2:$X$201,'Arm results'!$C$2:$C$201,$C62,'Arm results'!$D$2:$D$201,"B0"))/(J62-SUMIFS('Arm results'!$X$2:$X$201,'Arm results'!$C$2:$C$201,$C62,'Arm results'!$D$2:$D$201,"A1")),"")</f>
        <v/>
      </c>
      <c r="O62" s="21" t="n">
        <v>2.201273599988781</v>
      </c>
      <c r="P62" s="6" t="n">
        <v>0</v>
      </c>
      <c r="Q62" s="8">
        <f>IF(H62=1,(I62+O62)/(J62+O62),"")</f>
        <v/>
      </c>
      <c r="R62" s="18">
        <f>IF(H62=1,LN(Q62),"")</f>
        <v/>
      </c>
      <c r="S62" s="22">
        <f>SUMIFS('Arm results'!$AI$2:$AI$201,'Arm results'!$C$2:$C$201,$C62,'Arm results'!$D$2:$D$201,"B0")</f>
        <v/>
      </c>
      <c r="T62" s="22">
        <f>SUMIFS('Arm results'!$AI$2:$AI$201,'Arm results'!$C$2:$C$201,$C62,'Arm results'!$D$2:$D$201,"A1")</f>
        <v/>
      </c>
      <c r="U62" s="8">
        <f>IF(H62=1,T62/S62,"")</f>
        <v/>
      </c>
      <c r="V62" s="23">
        <f>SUMIFS('Arm results'!$AJ$2:$AJ$201,'Arm results'!$C$2:$C$201,$C62,'Arm results'!$D$2:$D$201,"B0")</f>
        <v/>
      </c>
      <c r="W62" s="23">
        <f>SUMIFS('Arm results'!$AJ$2:$AJ$201,'Arm results'!$C$2:$C$201,$C62,'Arm results'!$D$2:$D$201,"A1")</f>
        <v/>
      </c>
      <c r="X62" s="5">
        <f>IF(V62&lt;&gt;W62,1,0)</f>
        <v/>
      </c>
    </row>
    <row r="63">
      <c r="A63" s="5" t="n">
        <v>2</v>
      </c>
      <c r="B63" s="5" t="n">
        <v>12</v>
      </c>
      <c r="C63" s="5" t="inlineStr">
        <is>
          <t>hard1_14</t>
        </is>
      </c>
      <c r="D63" s="5" t="inlineStr">
        <is>
          <t>hard1</t>
        </is>
      </c>
      <c r="E63" s="5" t="inlineStr">
        <is>
          <t>A1</t>
        </is>
      </c>
      <c r="F63" s="5" t="inlineStr">
        <is>
          <t>SUCCEEDED</t>
        </is>
      </c>
      <c r="G63" s="5" t="inlineStr">
        <is>
          <t>SUCCEEDED</t>
        </is>
      </c>
      <c r="H63" s="5">
        <f>IF(AND(F63="SUCCEEDED",G63="SUCCEEDED"),1,0)</f>
        <v/>
      </c>
      <c r="I63" s="17">
        <f>SUMIFS('Arm results'!$O$2:$O$201,'Arm results'!$C$2:$C$201,$C63,'Arm results'!$D$2:$D$201,"B0")</f>
        <v/>
      </c>
      <c r="J63" s="17">
        <f>SUMIFS('Arm results'!$O$2:$O$201,'Arm results'!$C$2:$C$201,$C63,'Arm results'!$D$2:$D$201,"A1")</f>
        <v/>
      </c>
      <c r="K63" s="8">
        <f>IF(H63=1,I63/J63,"")</f>
        <v/>
      </c>
      <c r="L63" s="18">
        <f>IF(H63=1,LN(K63),"")</f>
        <v/>
      </c>
      <c r="M63" s="19">
        <f>IF(H63=1,(I63-J63)/I63,"")</f>
        <v/>
      </c>
      <c r="N63" s="20">
        <f>IF(H63=1,(I63-SUMIFS('Arm results'!$X$2:$X$201,'Arm results'!$C$2:$C$201,$C63,'Arm results'!$D$2:$D$201,"B0"))/(J63-SUMIFS('Arm results'!$X$2:$X$201,'Arm results'!$C$2:$C$201,$C63,'Arm results'!$D$2:$D$201,"A1")),"")</f>
        <v/>
      </c>
      <c r="O63" s="21" t="n">
        <v>4.897236999997403</v>
      </c>
      <c r="P63" s="6" t="n">
        <v>1</v>
      </c>
      <c r="Q63" s="8">
        <f>IF(H63=1,(I63+O63)/(J63+O63),"")</f>
        <v/>
      </c>
      <c r="R63" s="18">
        <f>IF(H63=1,LN(Q63),"")</f>
        <v/>
      </c>
      <c r="S63" s="22">
        <f>SUMIFS('Arm results'!$AI$2:$AI$201,'Arm results'!$C$2:$C$201,$C63,'Arm results'!$D$2:$D$201,"B0")</f>
        <v/>
      </c>
      <c r="T63" s="22">
        <f>SUMIFS('Arm results'!$AI$2:$AI$201,'Arm results'!$C$2:$C$201,$C63,'Arm results'!$D$2:$D$201,"A1")</f>
        <v/>
      </c>
      <c r="U63" s="8">
        <f>IF(H63=1,T63/S63,"")</f>
        <v/>
      </c>
      <c r="V63" s="23">
        <f>SUMIFS('Arm results'!$AJ$2:$AJ$201,'Arm results'!$C$2:$C$201,$C63,'Arm results'!$D$2:$D$201,"B0")</f>
        <v/>
      </c>
      <c r="W63" s="23">
        <f>SUMIFS('Arm results'!$AJ$2:$AJ$201,'Arm results'!$C$2:$C$201,$C63,'Arm results'!$D$2:$D$201,"A1")</f>
        <v/>
      </c>
      <c r="X63" s="5">
        <f>IF(V63&lt;&gt;W63,1,0)</f>
        <v/>
      </c>
    </row>
    <row r="64">
      <c r="A64" s="5" t="n">
        <v>2</v>
      </c>
      <c r="B64" s="5" t="n">
        <v>13</v>
      </c>
      <c r="C64" s="5" t="inlineStr">
        <is>
          <t>med1_6</t>
        </is>
      </c>
      <c r="D64" s="5" t="inlineStr">
        <is>
          <t>med1</t>
        </is>
      </c>
      <c r="E64" s="5" t="inlineStr">
        <is>
          <t>B0</t>
        </is>
      </c>
      <c r="F64" s="5" t="inlineStr">
        <is>
          <t>SUCCEEDED</t>
        </is>
      </c>
      <c r="G64" s="5" t="inlineStr">
        <is>
          <t>SUCCEEDED</t>
        </is>
      </c>
      <c r="H64" s="5">
        <f>IF(AND(F64="SUCCEEDED",G64="SUCCEEDED"),1,0)</f>
        <v/>
      </c>
      <c r="I64" s="17">
        <f>SUMIFS('Arm results'!$O$2:$O$201,'Arm results'!$C$2:$C$201,$C64,'Arm results'!$D$2:$D$201,"B0")</f>
        <v/>
      </c>
      <c r="J64" s="17">
        <f>SUMIFS('Arm results'!$O$2:$O$201,'Arm results'!$C$2:$C$201,$C64,'Arm results'!$D$2:$D$201,"A1")</f>
        <v/>
      </c>
      <c r="K64" s="8">
        <f>IF(H64=1,I64/J64,"")</f>
        <v/>
      </c>
      <c r="L64" s="18">
        <f>IF(H64=1,LN(K64),"")</f>
        <v/>
      </c>
      <c r="M64" s="19">
        <f>IF(H64=1,(I64-J64)/I64,"")</f>
        <v/>
      </c>
      <c r="N64" s="20">
        <f>IF(H64=1,(I64-SUMIFS('Arm results'!$X$2:$X$201,'Arm results'!$C$2:$C$201,$C64,'Arm results'!$D$2:$D$201,"B0"))/(J64-SUMIFS('Arm results'!$X$2:$X$201,'Arm results'!$C$2:$C$201,$C64,'Arm results'!$D$2:$D$201,"A1")),"")</f>
        <v/>
      </c>
      <c r="O64" s="21" t="n">
        <v>2.419890700024553</v>
      </c>
      <c r="P64" s="6" t="n">
        <v>1</v>
      </c>
      <c r="Q64" s="8">
        <f>IF(H64=1,(I64+O64)/(J64+O64),"")</f>
        <v/>
      </c>
      <c r="R64" s="18">
        <f>IF(H64=1,LN(Q64),"")</f>
        <v/>
      </c>
      <c r="S64" s="22">
        <f>SUMIFS('Arm results'!$AI$2:$AI$201,'Arm results'!$C$2:$C$201,$C64,'Arm results'!$D$2:$D$201,"B0")</f>
        <v/>
      </c>
      <c r="T64" s="22">
        <f>SUMIFS('Arm results'!$AI$2:$AI$201,'Arm results'!$C$2:$C$201,$C64,'Arm results'!$D$2:$D$201,"A1")</f>
        <v/>
      </c>
      <c r="U64" s="8">
        <f>IF(H64=1,T64/S64,"")</f>
        <v/>
      </c>
      <c r="V64" s="23">
        <f>SUMIFS('Arm results'!$AJ$2:$AJ$201,'Arm results'!$C$2:$C$201,$C64,'Arm results'!$D$2:$D$201,"B0")</f>
        <v/>
      </c>
      <c r="W64" s="23">
        <f>SUMIFS('Arm results'!$AJ$2:$AJ$201,'Arm results'!$C$2:$C$201,$C64,'Arm results'!$D$2:$D$201,"A1")</f>
        <v/>
      </c>
      <c r="X64" s="5">
        <f>IF(V64&lt;&gt;W64,1,0)</f>
        <v/>
      </c>
    </row>
    <row r="65">
      <c r="A65" s="5" t="n">
        <v>2</v>
      </c>
      <c r="B65" s="5" t="n">
        <v>14</v>
      </c>
      <c r="C65" s="5" t="inlineStr">
        <is>
          <t>easy2_39</t>
        </is>
      </c>
      <c r="D65" s="5" t="inlineStr">
        <is>
          <t>easy2</t>
        </is>
      </c>
      <c r="E65" s="5" t="inlineStr">
        <is>
          <t>A1</t>
        </is>
      </c>
      <c r="F65" s="5" t="inlineStr">
        <is>
          <t>SUCCEEDED</t>
        </is>
      </c>
      <c r="G65" s="5" t="inlineStr">
        <is>
          <t>SUCCEEDED</t>
        </is>
      </c>
      <c r="H65" s="5">
        <f>IF(AND(F65="SUCCEEDED",G65="SUCCEEDED"),1,0)</f>
        <v/>
      </c>
      <c r="I65" s="17">
        <f>SUMIFS('Arm results'!$O$2:$O$201,'Arm results'!$C$2:$C$201,$C65,'Arm results'!$D$2:$D$201,"B0")</f>
        <v/>
      </c>
      <c r="J65" s="17">
        <f>SUMIFS('Arm results'!$O$2:$O$201,'Arm results'!$C$2:$C$201,$C65,'Arm results'!$D$2:$D$201,"A1")</f>
        <v/>
      </c>
      <c r="K65" s="8">
        <f>IF(H65=1,I65/J65,"")</f>
        <v/>
      </c>
      <c r="L65" s="18">
        <f>IF(H65=1,LN(K65),"")</f>
        <v/>
      </c>
      <c r="M65" s="19">
        <f>IF(H65=1,(I65-J65)/I65,"")</f>
        <v/>
      </c>
      <c r="N65" s="20">
        <f>IF(H65=1,(I65-SUMIFS('Arm results'!$X$2:$X$201,'Arm results'!$C$2:$C$201,$C65,'Arm results'!$D$2:$D$201,"B0"))/(J65-SUMIFS('Arm results'!$X$2:$X$201,'Arm results'!$C$2:$C$201,$C65,'Arm results'!$D$2:$D$201,"A1")),"")</f>
        <v/>
      </c>
      <c r="O65" s="21" t="n">
        <v>1.431411499972455</v>
      </c>
      <c r="P65" s="6" t="n">
        <v>0</v>
      </c>
      <c r="Q65" s="8">
        <f>IF(H65=1,(I65+O65)/(J65+O65),"")</f>
        <v/>
      </c>
      <c r="R65" s="18">
        <f>IF(H65=1,LN(Q65),"")</f>
        <v/>
      </c>
      <c r="S65" s="22">
        <f>SUMIFS('Arm results'!$AI$2:$AI$201,'Arm results'!$C$2:$C$201,$C65,'Arm results'!$D$2:$D$201,"B0")</f>
        <v/>
      </c>
      <c r="T65" s="22">
        <f>SUMIFS('Arm results'!$AI$2:$AI$201,'Arm results'!$C$2:$C$201,$C65,'Arm results'!$D$2:$D$201,"A1")</f>
        <v/>
      </c>
      <c r="U65" s="8">
        <f>IF(H65=1,T65/S65,"")</f>
        <v/>
      </c>
      <c r="V65" s="23">
        <f>SUMIFS('Arm results'!$AJ$2:$AJ$201,'Arm results'!$C$2:$C$201,$C65,'Arm results'!$D$2:$D$201,"B0")</f>
        <v/>
      </c>
      <c r="W65" s="23">
        <f>SUMIFS('Arm results'!$AJ$2:$AJ$201,'Arm results'!$C$2:$C$201,$C65,'Arm results'!$D$2:$D$201,"A1")</f>
        <v/>
      </c>
      <c r="X65" s="5">
        <f>IF(V65&lt;&gt;W65,1,0)</f>
        <v/>
      </c>
    </row>
    <row r="66">
      <c r="A66" s="5" t="n">
        <v>2</v>
      </c>
      <c r="B66" s="5" t="n">
        <v>15</v>
      </c>
      <c r="C66" s="5" t="inlineStr">
        <is>
          <t>med3_43</t>
        </is>
      </c>
      <c r="D66" s="5" t="inlineStr">
        <is>
          <t>med3</t>
        </is>
      </c>
      <c r="E66" s="5" t="inlineStr">
        <is>
          <t>B0</t>
        </is>
      </c>
      <c r="F66" s="5" t="inlineStr">
        <is>
          <t>SUCCEEDED</t>
        </is>
      </c>
      <c r="G66" s="5" t="inlineStr">
        <is>
          <t>SUCCEEDED</t>
        </is>
      </c>
      <c r="H66" s="5">
        <f>IF(AND(F66="SUCCEEDED",G66="SUCCEEDED"),1,0)</f>
        <v/>
      </c>
      <c r="I66" s="17">
        <f>SUMIFS('Arm results'!$O$2:$O$201,'Arm results'!$C$2:$C$201,$C66,'Arm results'!$D$2:$D$201,"B0")</f>
        <v/>
      </c>
      <c r="J66" s="17">
        <f>SUMIFS('Arm results'!$O$2:$O$201,'Arm results'!$C$2:$C$201,$C66,'Arm results'!$D$2:$D$201,"A1")</f>
        <v/>
      </c>
      <c r="K66" s="8">
        <f>IF(H66=1,I66/J66,"")</f>
        <v/>
      </c>
      <c r="L66" s="18">
        <f>IF(H66=1,LN(K66),"")</f>
        <v/>
      </c>
      <c r="M66" s="19">
        <f>IF(H66=1,(I66-J66)/I66,"")</f>
        <v/>
      </c>
      <c r="N66" s="20">
        <f>IF(H66=1,(I66-SUMIFS('Arm results'!$X$2:$X$201,'Arm results'!$C$2:$C$201,$C66,'Arm results'!$D$2:$D$201,"B0"))/(J66-SUMIFS('Arm results'!$X$2:$X$201,'Arm results'!$C$2:$C$201,$C66,'Arm results'!$D$2:$D$201,"A1")),"")</f>
        <v/>
      </c>
      <c r="O66" s="21" t="n">
        <v>2.572029999981169</v>
      </c>
      <c r="P66" s="6" t="n">
        <v>1</v>
      </c>
      <c r="Q66" s="8">
        <f>IF(H66=1,(I66+O66)/(J66+O66),"")</f>
        <v/>
      </c>
      <c r="R66" s="18">
        <f>IF(H66=1,LN(Q66),"")</f>
        <v/>
      </c>
      <c r="S66" s="22">
        <f>SUMIFS('Arm results'!$AI$2:$AI$201,'Arm results'!$C$2:$C$201,$C66,'Arm results'!$D$2:$D$201,"B0")</f>
        <v/>
      </c>
      <c r="T66" s="22">
        <f>SUMIFS('Arm results'!$AI$2:$AI$201,'Arm results'!$C$2:$C$201,$C66,'Arm results'!$D$2:$D$201,"A1")</f>
        <v/>
      </c>
      <c r="U66" s="8">
        <f>IF(H66=1,T66/S66,"")</f>
        <v/>
      </c>
      <c r="V66" s="23">
        <f>SUMIFS('Arm results'!$AJ$2:$AJ$201,'Arm results'!$C$2:$C$201,$C66,'Arm results'!$D$2:$D$201,"B0")</f>
        <v/>
      </c>
      <c r="W66" s="23">
        <f>SUMIFS('Arm results'!$AJ$2:$AJ$201,'Arm results'!$C$2:$C$201,$C66,'Arm results'!$D$2:$D$201,"A1")</f>
        <v/>
      </c>
      <c r="X66" s="5">
        <f>IF(V66&lt;&gt;W66,1,0)</f>
        <v/>
      </c>
    </row>
    <row r="67">
      <c r="A67" s="5" t="n">
        <v>2</v>
      </c>
      <c r="B67" s="5" t="n">
        <v>16</v>
      </c>
      <c r="C67" s="5" t="inlineStr">
        <is>
          <t>easy2_4</t>
        </is>
      </c>
      <c r="D67" s="5" t="inlineStr">
        <is>
          <t>easy2</t>
        </is>
      </c>
      <c r="E67" s="5" t="inlineStr">
        <is>
          <t>A1</t>
        </is>
      </c>
      <c r="F67" s="5" t="inlineStr">
        <is>
          <t>SUCCEEDED</t>
        </is>
      </c>
      <c r="G67" s="5" t="inlineStr">
        <is>
          <t>SUCCEEDED</t>
        </is>
      </c>
      <c r="H67" s="5">
        <f>IF(AND(F67="SUCCEEDED",G67="SUCCEEDED"),1,0)</f>
        <v/>
      </c>
      <c r="I67" s="17">
        <f>SUMIFS('Arm results'!$O$2:$O$201,'Arm results'!$C$2:$C$201,$C67,'Arm results'!$D$2:$D$201,"B0")</f>
        <v/>
      </c>
      <c r="J67" s="17">
        <f>SUMIFS('Arm results'!$O$2:$O$201,'Arm results'!$C$2:$C$201,$C67,'Arm results'!$D$2:$D$201,"A1")</f>
        <v/>
      </c>
      <c r="K67" s="8">
        <f>IF(H67=1,I67/J67,"")</f>
        <v/>
      </c>
      <c r="L67" s="18">
        <f>IF(H67=1,LN(K67),"")</f>
        <v/>
      </c>
      <c r="M67" s="19">
        <f>IF(H67=1,(I67-J67)/I67,"")</f>
        <v/>
      </c>
      <c r="N67" s="20">
        <f>IF(H67=1,(I67-SUMIFS('Arm results'!$X$2:$X$201,'Arm results'!$C$2:$C$201,$C67,'Arm results'!$D$2:$D$201,"B0"))/(J67-SUMIFS('Arm results'!$X$2:$X$201,'Arm results'!$C$2:$C$201,$C67,'Arm results'!$D$2:$D$201,"A1")),"")</f>
        <v/>
      </c>
      <c r="O67" s="21" t="n">
        <v>1.767164100019727</v>
      </c>
      <c r="P67" s="6" t="n">
        <v>0</v>
      </c>
      <c r="Q67" s="8">
        <f>IF(H67=1,(I67+O67)/(J67+O67),"")</f>
        <v/>
      </c>
      <c r="R67" s="18">
        <f>IF(H67=1,LN(Q67),"")</f>
        <v/>
      </c>
      <c r="S67" s="22">
        <f>SUMIFS('Arm results'!$AI$2:$AI$201,'Arm results'!$C$2:$C$201,$C67,'Arm results'!$D$2:$D$201,"B0")</f>
        <v/>
      </c>
      <c r="T67" s="22">
        <f>SUMIFS('Arm results'!$AI$2:$AI$201,'Arm results'!$C$2:$C$201,$C67,'Arm results'!$D$2:$D$201,"A1")</f>
        <v/>
      </c>
      <c r="U67" s="8">
        <f>IF(H67=1,T67/S67,"")</f>
        <v/>
      </c>
      <c r="V67" s="23">
        <f>SUMIFS('Arm results'!$AJ$2:$AJ$201,'Arm results'!$C$2:$C$201,$C67,'Arm results'!$D$2:$D$201,"B0")</f>
        <v/>
      </c>
      <c r="W67" s="23">
        <f>SUMIFS('Arm results'!$AJ$2:$AJ$201,'Arm results'!$C$2:$C$201,$C67,'Arm results'!$D$2:$D$201,"A1")</f>
        <v/>
      </c>
      <c r="X67" s="5">
        <f>IF(V67&lt;&gt;W67,1,0)</f>
        <v/>
      </c>
    </row>
    <row r="68">
      <c r="A68" s="5" t="n">
        <v>2</v>
      </c>
      <c r="B68" s="5" t="n">
        <v>17</v>
      </c>
      <c r="C68" s="5" t="inlineStr">
        <is>
          <t>hard1_6</t>
        </is>
      </c>
      <c r="D68" s="5" t="inlineStr">
        <is>
          <t>hard1</t>
        </is>
      </c>
      <c r="E68" s="5" t="inlineStr">
        <is>
          <t>B0</t>
        </is>
      </c>
      <c r="F68" s="5" t="inlineStr">
        <is>
          <t>SUCCEEDED</t>
        </is>
      </c>
      <c r="G68" s="5" t="inlineStr">
        <is>
          <t>SUCCEEDED</t>
        </is>
      </c>
      <c r="H68" s="5">
        <f>IF(AND(F68="SUCCEEDED",G68="SUCCEEDED"),1,0)</f>
        <v/>
      </c>
      <c r="I68" s="17">
        <f>SUMIFS('Arm results'!$O$2:$O$201,'Arm results'!$C$2:$C$201,$C68,'Arm results'!$D$2:$D$201,"B0")</f>
        <v/>
      </c>
      <c r="J68" s="17">
        <f>SUMIFS('Arm results'!$O$2:$O$201,'Arm results'!$C$2:$C$201,$C68,'Arm results'!$D$2:$D$201,"A1")</f>
        <v/>
      </c>
      <c r="K68" s="8">
        <f>IF(H68=1,I68/J68,"")</f>
        <v/>
      </c>
      <c r="L68" s="18">
        <f>IF(H68=1,LN(K68),"")</f>
        <v/>
      </c>
      <c r="M68" s="19">
        <f>IF(H68=1,(I68-J68)/I68,"")</f>
        <v/>
      </c>
      <c r="N68" s="20">
        <f>IF(H68=1,(I68-SUMIFS('Arm results'!$X$2:$X$201,'Arm results'!$C$2:$C$201,$C68,'Arm results'!$D$2:$D$201,"B0"))/(J68-SUMIFS('Arm results'!$X$2:$X$201,'Arm results'!$C$2:$C$201,$C68,'Arm results'!$D$2:$D$201,"A1")),"")</f>
        <v/>
      </c>
      <c r="O68" s="21" t="n">
        <v>2.839667099993676</v>
      </c>
      <c r="P68" s="6" t="n">
        <v>1</v>
      </c>
      <c r="Q68" s="8">
        <f>IF(H68=1,(I68+O68)/(J68+O68),"")</f>
        <v/>
      </c>
      <c r="R68" s="18">
        <f>IF(H68=1,LN(Q68),"")</f>
        <v/>
      </c>
      <c r="S68" s="22">
        <f>SUMIFS('Arm results'!$AI$2:$AI$201,'Arm results'!$C$2:$C$201,$C68,'Arm results'!$D$2:$D$201,"B0")</f>
        <v/>
      </c>
      <c r="T68" s="22">
        <f>SUMIFS('Arm results'!$AI$2:$AI$201,'Arm results'!$C$2:$C$201,$C68,'Arm results'!$D$2:$D$201,"A1")</f>
        <v/>
      </c>
      <c r="U68" s="8">
        <f>IF(H68=1,T68/S68,"")</f>
        <v/>
      </c>
      <c r="V68" s="23">
        <f>SUMIFS('Arm results'!$AJ$2:$AJ$201,'Arm results'!$C$2:$C$201,$C68,'Arm results'!$D$2:$D$201,"B0")</f>
        <v/>
      </c>
      <c r="W68" s="23">
        <f>SUMIFS('Arm results'!$AJ$2:$AJ$201,'Arm results'!$C$2:$C$201,$C68,'Arm results'!$D$2:$D$201,"A1")</f>
        <v/>
      </c>
      <c r="X68" s="5">
        <f>IF(V68&lt;&gt;W68,1,0)</f>
        <v/>
      </c>
    </row>
    <row r="69">
      <c r="A69" s="5" t="n">
        <v>2</v>
      </c>
      <c r="B69" s="5" t="n">
        <v>18</v>
      </c>
      <c r="C69" s="5" t="inlineStr">
        <is>
          <t>hard2_43</t>
        </is>
      </c>
      <c r="D69" s="5" t="inlineStr">
        <is>
          <t>hard2</t>
        </is>
      </c>
      <c r="E69" s="5" t="inlineStr">
        <is>
          <t>A1</t>
        </is>
      </c>
      <c r="F69" s="5" t="inlineStr">
        <is>
          <t>SUCCEEDED</t>
        </is>
      </c>
      <c r="G69" s="5" t="inlineStr">
        <is>
          <t>SUCCEEDED</t>
        </is>
      </c>
      <c r="H69" s="5">
        <f>IF(AND(F69="SUCCEEDED",G69="SUCCEEDED"),1,0)</f>
        <v/>
      </c>
      <c r="I69" s="17">
        <f>SUMIFS('Arm results'!$O$2:$O$201,'Arm results'!$C$2:$C$201,$C69,'Arm results'!$D$2:$D$201,"B0")</f>
        <v/>
      </c>
      <c r="J69" s="17">
        <f>SUMIFS('Arm results'!$O$2:$O$201,'Arm results'!$C$2:$C$201,$C69,'Arm results'!$D$2:$D$201,"A1")</f>
        <v/>
      </c>
      <c r="K69" s="8">
        <f>IF(H69=1,I69/J69,"")</f>
        <v/>
      </c>
      <c r="L69" s="18">
        <f>IF(H69=1,LN(K69),"")</f>
        <v/>
      </c>
      <c r="M69" s="19">
        <f>IF(H69=1,(I69-J69)/I69,"")</f>
        <v/>
      </c>
      <c r="N69" s="20">
        <f>IF(H69=1,(I69-SUMIFS('Arm results'!$X$2:$X$201,'Arm results'!$C$2:$C$201,$C69,'Arm results'!$D$2:$D$201,"B0"))/(J69-SUMIFS('Arm results'!$X$2:$X$201,'Arm results'!$C$2:$C$201,$C69,'Arm results'!$D$2:$D$201,"A1")),"")</f>
        <v/>
      </c>
      <c r="O69" s="21" t="n">
        <v>3.934822299983352</v>
      </c>
      <c r="P69" s="6" t="n">
        <v>1</v>
      </c>
      <c r="Q69" s="8">
        <f>IF(H69=1,(I69+O69)/(J69+O69),"")</f>
        <v/>
      </c>
      <c r="R69" s="18">
        <f>IF(H69=1,LN(Q69),"")</f>
        <v/>
      </c>
      <c r="S69" s="22">
        <f>SUMIFS('Arm results'!$AI$2:$AI$201,'Arm results'!$C$2:$C$201,$C69,'Arm results'!$D$2:$D$201,"B0")</f>
        <v/>
      </c>
      <c r="T69" s="22">
        <f>SUMIFS('Arm results'!$AI$2:$AI$201,'Arm results'!$C$2:$C$201,$C69,'Arm results'!$D$2:$D$201,"A1")</f>
        <v/>
      </c>
      <c r="U69" s="8">
        <f>IF(H69=1,T69/S69,"")</f>
        <v/>
      </c>
      <c r="V69" s="23">
        <f>SUMIFS('Arm results'!$AJ$2:$AJ$201,'Arm results'!$C$2:$C$201,$C69,'Arm results'!$D$2:$D$201,"B0")</f>
        <v/>
      </c>
      <c r="W69" s="23">
        <f>SUMIFS('Arm results'!$AJ$2:$AJ$201,'Arm results'!$C$2:$C$201,$C69,'Arm results'!$D$2:$D$201,"A1")</f>
        <v/>
      </c>
      <c r="X69" s="5">
        <f>IF(V69&lt;&gt;W69,1,0)</f>
        <v/>
      </c>
    </row>
    <row r="70">
      <c r="A70" s="5" t="n">
        <v>2</v>
      </c>
      <c r="B70" s="5" t="n">
        <v>19</v>
      </c>
      <c r="C70" s="5" t="inlineStr">
        <is>
          <t>hard3_16</t>
        </is>
      </c>
      <c r="D70" s="5" t="inlineStr">
        <is>
          <t>hard3</t>
        </is>
      </c>
      <c r="E70" s="5" t="inlineStr">
        <is>
          <t>B0</t>
        </is>
      </c>
      <c r="F70" s="5" t="inlineStr">
        <is>
          <t>SUCCEEDED</t>
        </is>
      </c>
      <c r="G70" s="5" t="inlineStr">
        <is>
          <t>SUCCEEDED</t>
        </is>
      </c>
      <c r="H70" s="5">
        <f>IF(AND(F70="SUCCEEDED",G70="SUCCEEDED"),1,0)</f>
        <v/>
      </c>
      <c r="I70" s="17">
        <f>SUMIFS('Arm results'!$O$2:$O$201,'Arm results'!$C$2:$C$201,$C70,'Arm results'!$D$2:$D$201,"B0")</f>
        <v/>
      </c>
      <c r="J70" s="17">
        <f>SUMIFS('Arm results'!$O$2:$O$201,'Arm results'!$C$2:$C$201,$C70,'Arm results'!$D$2:$D$201,"A1")</f>
        <v/>
      </c>
      <c r="K70" s="8">
        <f>IF(H70=1,I70/J70,"")</f>
        <v/>
      </c>
      <c r="L70" s="18">
        <f>IF(H70=1,LN(K70),"")</f>
        <v/>
      </c>
      <c r="M70" s="19">
        <f>IF(H70=1,(I70-J70)/I70,"")</f>
        <v/>
      </c>
      <c r="N70" s="20">
        <f>IF(H70=1,(I70-SUMIFS('Arm results'!$X$2:$X$201,'Arm results'!$C$2:$C$201,$C70,'Arm results'!$D$2:$D$201,"B0"))/(J70-SUMIFS('Arm results'!$X$2:$X$201,'Arm results'!$C$2:$C$201,$C70,'Arm results'!$D$2:$D$201,"A1")),"")</f>
        <v/>
      </c>
      <c r="O70" s="21" t="n">
        <v>2.361884900019504</v>
      </c>
      <c r="P70" s="6" t="n">
        <v>1</v>
      </c>
      <c r="Q70" s="8">
        <f>IF(H70=1,(I70+O70)/(J70+O70),"")</f>
        <v/>
      </c>
      <c r="R70" s="18">
        <f>IF(H70=1,LN(Q70),"")</f>
        <v/>
      </c>
      <c r="S70" s="22">
        <f>SUMIFS('Arm results'!$AI$2:$AI$201,'Arm results'!$C$2:$C$201,$C70,'Arm results'!$D$2:$D$201,"B0")</f>
        <v/>
      </c>
      <c r="T70" s="22">
        <f>SUMIFS('Arm results'!$AI$2:$AI$201,'Arm results'!$C$2:$C$201,$C70,'Arm results'!$D$2:$D$201,"A1")</f>
        <v/>
      </c>
      <c r="U70" s="8">
        <f>IF(H70=1,T70/S70,"")</f>
        <v/>
      </c>
      <c r="V70" s="23">
        <f>SUMIFS('Arm results'!$AJ$2:$AJ$201,'Arm results'!$C$2:$C$201,$C70,'Arm results'!$D$2:$D$201,"B0")</f>
        <v/>
      </c>
      <c r="W70" s="23">
        <f>SUMIFS('Arm results'!$AJ$2:$AJ$201,'Arm results'!$C$2:$C$201,$C70,'Arm results'!$D$2:$D$201,"A1")</f>
        <v/>
      </c>
      <c r="X70" s="5">
        <f>IF(V70&lt;&gt;W70,1,0)</f>
        <v/>
      </c>
    </row>
    <row r="71">
      <c r="A71" s="5" t="n">
        <v>2</v>
      </c>
      <c r="B71" s="5" t="n">
        <v>20</v>
      </c>
      <c r="C71" s="5" t="inlineStr">
        <is>
          <t>med2_24</t>
        </is>
      </c>
      <c r="D71" s="5" t="inlineStr">
        <is>
          <t>med2</t>
        </is>
      </c>
      <c r="E71" s="5" t="inlineStr">
        <is>
          <t>A1</t>
        </is>
      </c>
      <c r="F71" s="5" t="inlineStr">
        <is>
          <t>SUCCEEDED</t>
        </is>
      </c>
      <c r="G71" s="5" t="inlineStr">
        <is>
          <t>SUCCEEDED</t>
        </is>
      </c>
      <c r="H71" s="5">
        <f>IF(AND(F71="SUCCEEDED",G71="SUCCEEDED"),1,0)</f>
        <v/>
      </c>
      <c r="I71" s="17">
        <f>SUMIFS('Arm results'!$O$2:$O$201,'Arm results'!$C$2:$C$201,$C71,'Arm results'!$D$2:$D$201,"B0")</f>
        <v/>
      </c>
      <c r="J71" s="17">
        <f>SUMIFS('Arm results'!$O$2:$O$201,'Arm results'!$C$2:$C$201,$C71,'Arm results'!$D$2:$D$201,"A1")</f>
        <v/>
      </c>
      <c r="K71" s="8">
        <f>IF(H71=1,I71/J71,"")</f>
        <v/>
      </c>
      <c r="L71" s="18">
        <f>IF(H71=1,LN(K71),"")</f>
        <v/>
      </c>
      <c r="M71" s="19">
        <f>IF(H71=1,(I71-J71)/I71,"")</f>
        <v/>
      </c>
      <c r="N71" s="20">
        <f>IF(H71=1,(I71-SUMIFS('Arm results'!$X$2:$X$201,'Arm results'!$C$2:$C$201,$C71,'Arm results'!$D$2:$D$201,"B0"))/(J71-SUMIFS('Arm results'!$X$2:$X$201,'Arm results'!$C$2:$C$201,$C71,'Arm results'!$D$2:$D$201,"A1")),"")</f>
        <v/>
      </c>
      <c r="O71" s="21" t="n">
        <v>1.846541800012346</v>
      </c>
      <c r="P71" s="6" t="n">
        <v>1</v>
      </c>
      <c r="Q71" s="8">
        <f>IF(H71=1,(I71+O71)/(J71+O71),"")</f>
        <v/>
      </c>
      <c r="R71" s="18">
        <f>IF(H71=1,LN(Q71),"")</f>
        <v/>
      </c>
      <c r="S71" s="22">
        <f>SUMIFS('Arm results'!$AI$2:$AI$201,'Arm results'!$C$2:$C$201,$C71,'Arm results'!$D$2:$D$201,"B0")</f>
        <v/>
      </c>
      <c r="T71" s="22">
        <f>SUMIFS('Arm results'!$AI$2:$AI$201,'Arm results'!$C$2:$C$201,$C71,'Arm results'!$D$2:$D$201,"A1")</f>
        <v/>
      </c>
      <c r="U71" s="8">
        <f>IF(H71=1,T71/S71,"")</f>
        <v/>
      </c>
      <c r="V71" s="23">
        <f>SUMIFS('Arm results'!$AJ$2:$AJ$201,'Arm results'!$C$2:$C$201,$C71,'Arm results'!$D$2:$D$201,"B0")</f>
        <v/>
      </c>
      <c r="W71" s="23">
        <f>SUMIFS('Arm results'!$AJ$2:$AJ$201,'Arm results'!$C$2:$C$201,$C71,'Arm results'!$D$2:$D$201,"A1")</f>
        <v/>
      </c>
      <c r="X71" s="5">
        <f>IF(V71&lt;&gt;W71,1,0)</f>
        <v/>
      </c>
    </row>
    <row r="72">
      <c r="A72" s="5" t="n">
        <v>2</v>
      </c>
      <c r="B72" s="5" t="n">
        <v>21</v>
      </c>
      <c r="C72" s="5" t="inlineStr">
        <is>
          <t>med2_12</t>
        </is>
      </c>
      <c r="D72" s="5" t="inlineStr">
        <is>
          <t>med2</t>
        </is>
      </c>
      <c r="E72" s="5" t="inlineStr">
        <is>
          <t>B0</t>
        </is>
      </c>
      <c r="F72" s="5" t="inlineStr">
        <is>
          <t>SUCCEEDED</t>
        </is>
      </c>
      <c r="G72" s="5" t="inlineStr">
        <is>
          <t>SUCCEEDED</t>
        </is>
      </c>
      <c r="H72" s="5">
        <f>IF(AND(F72="SUCCEEDED",G72="SUCCEEDED"),1,0)</f>
        <v/>
      </c>
      <c r="I72" s="17">
        <f>SUMIFS('Arm results'!$O$2:$O$201,'Arm results'!$C$2:$C$201,$C72,'Arm results'!$D$2:$D$201,"B0")</f>
        <v/>
      </c>
      <c r="J72" s="17">
        <f>SUMIFS('Arm results'!$O$2:$O$201,'Arm results'!$C$2:$C$201,$C72,'Arm results'!$D$2:$D$201,"A1")</f>
        <v/>
      </c>
      <c r="K72" s="8">
        <f>IF(H72=1,I72/J72,"")</f>
        <v/>
      </c>
      <c r="L72" s="18">
        <f>IF(H72=1,LN(K72),"")</f>
        <v/>
      </c>
      <c r="M72" s="19">
        <f>IF(H72=1,(I72-J72)/I72,"")</f>
        <v/>
      </c>
      <c r="N72" s="20">
        <f>IF(H72=1,(I72-SUMIFS('Arm results'!$X$2:$X$201,'Arm results'!$C$2:$C$201,$C72,'Arm results'!$D$2:$D$201,"B0"))/(J72-SUMIFS('Arm results'!$X$2:$X$201,'Arm results'!$C$2:$C$201,$C72,'Arm results'!$D$2:$D$201,"A1")),"")</f>
        <v/>
      </c>
      <c r="O72" s="21" t="n">
        <v>2.954925299971364</v>
      </c>
      <c r="P72" s="6" t="n">
        <v>1</v>
      </c>
      <c r="Q72" s="8">
        <f>IF(H72=1,(I72+O72)/(J72+O72),"")</f>
        <v/>
      </c>
      <c r="R72" s="18">
        <f>IF(H72=1,LN(Q72),"")</f>
        <v/>
      </c>
      <c r="S72" s="22">
        <f>SUMIFS('Arm results'!$AI$2:$AI$201,'Arm results'!$C$2:$C$201,$C72,'Arm results'!$D$2:$D$201,"B0")</f>
        <v/>
      </c>
      <c r="T72" s="22">
        <f>SUMIFS('Arm results'!$AI$2:$AI$201,'Arm results'!$C$2:$C$201,$C72,'Arm results'!$D$2:$D$201,"A1")</f>
        <v/>
      </c>
      <c r="U72" s="8">
        <f>IF(H72=1,T72/S72,"")</f>
        <v/>
      </c>
      <c r="V72" s="23">
        <f>SUMIFS('Arm results'!$AJ$2:$AJ$201,'Arm results'!$C$2:$C$201,$C72,'Arm results'!$D$2:$D$201,"B0")</f>
        <v/>
      </c>
      <c r="W72" s="23">
        <f>SUMIFS('Arm results'!$AJ$2:$AJ$201,'Arm results'!$C$2:$C$201,$C72,'Arm results'!$D$2:$D$201,"A1")</f>
        <v/>
      </c>
      <c r="X72" s="5">
        <f>IF(V72&lt;&gt;W72,1,0)</f>
        <v/>
      </c>
    </row>
    <row r="73">
      <c r="A73" s="5" t="n">
        <v>2</v>
      </c>
      <c r="B73" s="5" t="n">
        <v>22</v>
      </c>
      <c r="C73" s="5" t="inlineStr">
        <is>
          <t>hard1_45</t>
        </is>
      </c>
      <c r="D73" s="5" t="inlineStr">
        <is>
          <t>hard1</t>
        </is>
      </c>
      <c r="E73" s="5" t="inlineStr">
        <is>
          <t>A1</t>
        </is>
      </c>
      <c r="F73" s="5" t="inlineStr">
        <is>
          <t>SUCCEEDED</t>
        </is>
      </c>
      <c r="G73" s="5" t="inlineStr">
        <is>
          <t>SUCCEEDED</t>
        </is>
      </c>
      <c r="H73" s="5">
        <f>IF(AND(F73="SUCCEEDED",G73="SUCCEEDED"),1,0)</f>
        <v/>
      </c>
      <c r="I73" s="17">
        <f>SUMIFS('Arm results'!$O$2:$O$201,'Arm results'!$C$2:$C$201,$C73,'Arm results'!$D$2:$D$201,"B0")</f>
        <v/>
      </c>
      <c r="J73" s="17">
        <f>SUMIFS('Arm results'!$O$2:$O$201,'Arm results'!$C$2:$C$201,$C73,'Arm results'!$D$2:$D$201,"A1")</f>
        <v/>
      </c>
      <c r="K73" s="8">
        <f>IF(H73=1,I73/J73,"")</f>
        <v/>
      </c>
      <c r="L73" s="18">
        <f>IF(H73=1,LN(K73),"")</f>
        <v/>
      </c>
      <c r="M73" s="19">
        <f>IF(H73=1,(I73-J73)/I73,"")</f>
        <v/>
      </c>
      <c r="N73" s="20">
        <f>IF(H73=1,(I73-SUMIFS('Arm results'!$X$2:$X$201,'Arm results'!$C$2:$C$201,$C73,'Arm results'!$D$2:$D$201,"B0"))/(J73-SUMIFS('Arm results'!$X$2:$X$201,'Arm results'!$C$2:$C$201,$C73,'Arm results'!$D$2:$D$201,"A1")),"")</f>
        <v/>
      </c>
      <c r="O73" s="21" t="n">
        <v>3.878737899998669</v>
      </c>
      <c r="P73" s="6" t="n">
        <v>1</v>
      </c>
      <c r="Q73" s="8">
        <f>IF(H73=1,(I73+O73)/(J73+O73),"")</f>
        <v/>
      </c>
      <c r="R73" s="18">
        <f>IF(H73=1,LN(Q73),"")</f>
        <v/>
      </c>
      <c r="S73" s="22">
        <f>SUMIFS('Arm results'!$AI$2:$AI$201,'Arm results'!$C$2:$C$201,$C73,'Arm results'!$D$2:$D$201,"B0")</f>
        <v/>
      </c>
      <c r="T73" s="22">
        <f>SUMIFS('Arm results'!$AI$2:$AI$201,'Arm results'!$C$2:$C$201,$C73,'Arm results'!$D$2:$D$201,"A1")</f>
        <v/>
      </c>
      <c r="U73" s="8">
        <f>IF(H73=1,T73/S73,"")</f>
        <v/>
      </c>
      <c r="V73" s="23">
        <f>SUMIFS('Arm results'!$AJ$2:$AJ$201,'Arm results'!$C$2:$C$201,$C73,'Arm results'!$D$2:$D$201,"B0")</f>
        <v/>
      </c>
      <c r="W73" s="23">
        <f>SUMIFS('Arm results'!$AJ$2:$AJ$201,'Arm results'!$C$2:$C$201,$C73,'Arm results'!$D$2:$D$201,"A1")</f>
        <v/>
      </c>
      <c r="X73" s="5">
        <f>IF(V73&lt;&gt;W73,1,0)</f>
        <v/>
      </c>
    </row>
    <row r="74">
      <c r="A74" s="5" t="n">
        <v>2</v>
      </c>
      <c r="B74" s="5" t="n">
        <v>23</v>
      </c>
      <c r="C74" s="5" t="inlineStr">
        <is>
          <t>easy2_20</t>
        </is>
      </c>
      <c r="D74" s="5" t="inlineStr">
        <is>
          <t>easy2</t>
        </is>
      </c>
      <c r="E74" s="5" t="inlineStr">
        <is>
          <t>B0</t>
        </is>
      </c>
      <c r="F74" s="5" t="inlineStr">
        <is>
          <t>SUCCEEDED</t>
        </is>
      </c>
      <c r="G74" s="5" t="inlineStr">
        <is>
          <t>SUCCEEDED</t>
        </is>
      </c>
      <c r="H74" s="5">
        <f>IF(AND(F74="SUCCEEDED",G74="SUCCEEDED"),1,0)</f>
        <v/>
      </c>
      <c r="I74" s="17">
        <f>SUMIFS('Arm results'!$O$2:$O$201,'Arm results'!$C$2:$C$201,$C74,'Arm results'!$D$2:$D$201,"B0")</f>
        <v/>
      </c>
      <c r="J74" s="17">
        <f>SUMIFS('Arm results'!$O$2:$O$201,'Arm results'!$C$2:$C$201,$C74,'Arm results'!$D$2:$D$201,"A1")</f>
        <v/>
      </c>
      <c r="K74" s="8">
        <f>IF(H74=1,I74/J74,"")</f>
        <v/>
      </c>
      <c r="L74" s="18">
        <f>IF(H74=1,LN(K74),"")</f>
        <v/>
      </c>
      <c r="M74" s="19">
        <f>IF(H74=1,(I74-J74)/I74,"")</f>
        <v/>
      </c>
      <c r="N74" s="20">
        <f>IF(H74=1,(I74-SUMIFS('Arm results'!$X$2:$X$201,'Arm results'!$C$2:$C$201,$C74,'Arm results'!$D$2:$D$201,"B0"))/(J74-SUMIFS('Arm results'!$X$2:$X$201,'Arm results'!$C$2:$C$201,$C74,'Arm results'!$D$2:$D$201,"A1")),"")</f>
        <v/>
      </c>
      <c r="O74" s="21" t="n">
        <v>1.899983299954329</v>
      </c>
      <c r="P74" s="6" t="n">
        <v>0</v>
      </c>
      <c r="Q74" s="8">
        <f>IF(H74=1,(I74+O74)/(J74+O74),"")</f>
        <v/>
      </c>
      <c r="R74" s="18">
        <f>IF(H74=1,LN(Q74),"")</f>
        <v/>
      </c>
      <c r="S74" s="22">
        <f>SUMIFS('Arm results'!$AI$2:$AI$201,'Arm results'!$C$2:$C$201,$C74,'Arm results'!$D$2:$D$201,"B0")</f>
        <v/>
      </c>
      <c r="T74" s="22">
        <f>SUMIFS('Arm results'!$AI$2:$AI$201,'Arm results'!$C$2:$C$201,$C74,'Arm results'!$D$2:$D$201,"A1")</f>
        <v/>
      </c>
      <c r="U74" s="8">
        <f>IF(H74=1,T74/S74,"")</f>
        <v/>
      </c>
      <c r="V74" s="23">
        <f>SUMIFS('Arm results'!$AJ$2:$AJ$201,'Arm results'!$C$2:$C$201,$C74,'Arm results'!$D$2:$D$201,"B0")</f>
        <v/>
      </c>
      <c r="W74" s="23">
        <f>SUMIFS('Arm results'!$AJ$2:$AJ$201,'Arm results'!$C$2:$C$201,$C74,'Arm results'!$D$2:$D$201,"A1")</f>
        <v/>
      </c>
      <c r="X74" s="5">
        <f>IF(V74&lt;&gt;W74,1,0)</f>
        <v/>
      </c>
    </row>
    <row r="75">
      <c r="A75" s="5" t="n">
        <v>2</v>
      </c>
      <c r="B75" s="5" t="n">
        <v>24</v>
      </c>
      <c r="C75" s="5" t="inlineStr">
        <is>
          <t>protein_1CAD_query_1_mask_2</t>
        </is>
      </c>
      <c r="D75" s="5" t="inlineStr">
        <is>
          <t>med4</t>
        </is>
      </c>
      <c r="E75" s="5" t="inlineStr">
        <is>
          <t>A1</t>
        </is>
      </c>
      <c r="F75" s="5" t="inlineStr">
        <is>
          <t>SUCCEEDED</t>
        </is>
      </c>
      <c r="G75" s="5" t="inlineStr">
        <is>
          <t>SUCCEEDED</t>
        </is>
      </c>
      <c r="H75" s="5">
        <f>IF(AND(F75="SUCCEEDED",G75="SUCCEEDED"),1,0)</f>
        <v/>
      </c>
      <c r="I75" s="17">
        <f>SUMIFS('Arm results'!$O$2:$O$201,'Arm results'!$C$2:$C$201,$C75,'Arm results'!$D$2:$D$201,"B0")</f>
        <v/>
      </c>
      <c r="J75" s="17">
        <f>SUMIFS('Arm results'!$O$2:$O$201,'Arm results'!$C$2:$C$201,$C75,'Arm results'!$D$2:$D$201,"A1")</f>
        <v/>
      </c>
      <c r="K75" s="8">
        <f>IF(H75=1,I75/J75,"")</f>
        <v/>
      </c>
      <c r="L75" s="18">
        <f>IF(H75=1,LN(K75),"")</f>
        <v/>
      </c>
      <c r="M75" s="19">
        <f>IF(H75=1,(I75-J75)/I75,"")</f>
        <v/>
      </c>
      <c r="N75" s="20">
        <f>IF(H75=1,(I75-SUMIFS('Arm results'!$X$2:$X$201,'Arm results'!$C$2:$C$201,$C75,'Arm results'!$D$2:$D$201,"B0"))/(J75-SUMIFS('Arm results'!$X$2:$X$201,'Arm results'!$C$2:$C$201,$C75,'Arm results'!$D$2:$D$201,"A1")),"")</f>
        <v/>
      </c>
      <c r="O75" s="21" t="n">
        <v>2.472877599997446</v>
      </c>
      <c r="P75" s="6" t="n">
        <v>0</v>
      </c>
      <c r="Q75" s="8">
        <f>IF(H75=1,(I75+O75)/(J75+O75),"")</f>
        <v/>
      </c>
      <c r="R75" s="18">
        <f>IF(H75=1,LN(Q75),"")</f>
        <v/>
      </c>
      <c r="S75" s="22">
        <f>SUMIFS('Arm results'!$AI$2:$AI$201,'Arm results'!$C$2:$C$201,$C75,'Arm results'!$D$2:$D$201,"B0")</f>
        <v/>
      </c>
      <c r="T75" s="22">
        <f>SUMIFS('Arm results'!$AI$2:$AI$201,'Arm results'!$C$2:$C$201,$C75,'Arm results'!$D$2:$D$201,"A1")</f>
        <v/>
      </c>
      <c r="U75" s="8">
        <f>IF(H75=1,T75/S75,"")</f>
        <v/>
      </c>
      <c r="V75" s="23">
        <f>SUMIFS('Arm results'!$AJ$2:$AJ$201,'Arm results'!$C$2:$C$201,$C75,'Arm results'!$D$2:$D$201,"B0")</f>
        <v/>
      </c>
      <c r="W75" s="23">
        <f>SUMIFS('Arm results'!$AJ$2:$AJ$201,'Arm results'!$C$2:$C$201,$C75,'Arm results'!$D$2:$D$201,"A1")</f>
        <v/>
      </c>
      <c r="X75" s="5">
        <f>IF(V75&lt;&gt;W75,1,0)</f>
        <v/>
      </c>
    </row>
    <row r="76">
      <c r="A76" s="5" t="n">
        <v>2</v>
      </c>
      <c r="B76" s="5" t="n">
        <v>25</v>
      </c>
      <c r="C76" s="5" t="inlineStr">
        <is>
          <t>med2_27</t>
        </is>
      </c>
      <c r="D76" s="5" t="inlineStr">
        <is>
          <t>med2</t>
        </is>
      </c>
      <c r="E76" s="5" t="inlineStr">
        <is>
          <t>B0</t>
        </is>
      </c>
      <c r="F76" s="5" t="inlineStr">
        <is>
          <t>SUCCEEDED</t>
        </is>
      </c>
      <c r="G76" s="5" t="inlineStr">
        <is>
          <t>SUCCEEDED</t>
        </is>
      </c>
      <c r="H76" s="5">
        <f>IF(AND(F76="SUCCEEDED",G76="SUCCEEDED"),1,0)</f>
        <v/>
      </c>
      <c r="I76" s="17">
        <f>SUMIFS('Arm results'!$O$2:$O$201,'Arm results'!$C$2:$C$201,$C76,'Arm results'!$D$2:$D$201,"B0")</f>
        <v/>
      </c>
      <c r="J76" s="17">
        <f>SUMIFS('Arm results'!$O$2:$O$201,'Arm results'!$C$2:$C$201,$C76,'Arm results'!$D$2:$D$201,"A1")</f>
        <v/>
      </c>
      <c r="K76" s="8">
        <f>IF(H76=1,I76/J76,"")</f>
        <v/>
      </c>
      <c r="L76" s="18">
        <f>IF(H76=1,LN(K76),"")</f>
        <v/>
      </c>
      <c r="M76" s="19">
        <f>IF(H76=1,(I76-J76)/I76,"")</f>
        <v/>
      </c>
      <c r="N76" s="20">
        <f>IF(H76=1,(I76-SUMIFS('Arm results'!$X$2:$X$201,'Arm results'!$C$2:$C$201,$C76,'Arm results'!$D$2:$D$201,"B0"))/(J76-SUMIFS('Arm results'!$X$2:$X$201,'Arm results'!$C$2:$C$201,$C76,'Arm results'!$D$2:$D$201,"A1")),"")</f>
        <v/>
      </c>
      <c r="O76" s="21" t="n">
        <v>2.251849599997513</v>
      </c>
      <c r="P76" s="6" t="n">
        <v>1</v>
      </c>
      <c r="Q76" s="8">
        <f>IF(H76=1,(I76+O76)/(J76+O76),"")</f>
        <v/>
      </c>
      <c r="R76" s="18">
        <f>IF(H76=1,LN(Q76),"")</f>
        <v/>
      </c>
      <c r="S76" s="22">
        <f>SUMIFS('Arm results'!$AI$2:$AI$201,'Arm results'!$C$2:$C$201,$C76,'Arm results'!$D$2:$D$201,"B0")</f>
        <v/>
      </c>
      <c r="T76" s="22">
        <f>SUMIFS('Arm results'!$AI$2:$AI$201,'Arm results'!$C$2:$C$201,$C76,'Arm results'!$D$2:$D$201,"A1")</f>
        <v/>
      </c>
      <c r="U76" s="8">
        <f>IF(H76=1,T76/S76,"")</f>
        <v/>
      </c>
      <c r="V76" s="23">
        <f>SUMIFS('Arm results'!$AJ$2:$AJ$201,'Arm results'!$C$2:$C$201,$C76,'Arm results'!$D$2:$D$201,"B0")</f>
        <v/>
      </c>
      <c r="W76" s="23">
        <f>SUMIFS('Arm results'!$AJ$2:$AJ$201,'Arm results'!$C$2:$C$201,$C76,'Arm results'!$D$2:$D$201,"A1")</f>
        <v/>
      </c>
      <c r="X76" s="5">
        <f>IF(V76&lt;&gt;W76,1,0)</f>
        <v/>
      </c>
    </row>
    <row r="77">
      <c r="A77" s="5" t="n">
        <v>2</v>
      </c>
      <c r="B77" s="5" t="n">
        <v>26</v>
      </c>
      <c r="C77" s="5" t="inlineStr">
        <is>
          <t>protein_1GCN_query_4_mask_4</t>
        </is>
      </c>
      <c r="D77" s="5" t="inlineStr">
        <is>
          <t>hard4</t>
        </is>
      </c>
      <c r="E77" s="5" t="inlineStr">
        <is>
          <t>A1</t>
        </is>
      </c>
      <c r="F77" s="5" t="inlineStr">
        <is>
          <t>SUCCEEDED</t>
        </is>
      </c>
      <c r="G77" s="5" t="inlineStr">
        <is>
          <t>SUCCEEDED</t>
        </is>
      </c>
      <c r="H77" s="5">
        <f>IF(AND(F77="SUCCEEDED",G77="SUCCEEDED"),1,0)</f>
        <v/>
      </c>
      <c r="I77" s="17">
        <f>SUMIFS('Arm results'!$O$2:$O$201,'Arm results'!$C$2:$C$201,$C77,'Arm results'!$D$2:$D$201,"B0")</f>
        <v/>
      </c>
      <c r="J77" s="17">
        <f>SUMIFS('Arm results'!$O$2:$O$201,'Arm results'!$C$2:$C$201,$C77,'Arm results'!$D$2:$D$201,"A1")</f>
        <v/>
      </c>
      <c r="K77" s="8">
        <f>IF(H77=1,I77/J77,"")</f>
        <v/>
      </c>
      <c r="L77" s="18">
        <f>IF(H77=1,LN(K77),"")</f>
        <v/>
      </c>
      <c r="M77" s="19">
        <f>IF(H77=1,(I77-J77)/I77,"")</f>
        <v/>
      </c>
      <c r="N77" s="20">
        <f>IF(H77=1,(I77-SUMIFS('Arm results'!$X$2:$X$201,'Arm results'!$C$2:$C$201,$C77,'Arm results'!$D$2:$D$201,"B0"))/(J77-SUMIFS('Arm results'!$X$2:$X$201,'Arm results'!$C$2:$C$201,$C77,'Arm results'!$D$2:$D$201,"A1")),"")</f>
        <v/>
      </c>
      <c r="O77" s="21" t="n">
        <v>2.363753999990877</v>
      </c>
      <c r="P77" s="6" t="n">
        <v>0</v>
      </c>
      <c r="Q77" s="8">
        <f>IF(H77=1,(I77+O77)/(J77+O77),"")</f>
        <v/>
      </c>
      <c r="R77" s="18">
        <f>IF(H77=1,LN(Q77),"")</f>
        <v/>
      </c>
      <c r="S77" s="22">
        <f>SUMIFS('Arm results'!$AI$2:$AI$201,'Arm results'!$C$2:$C$201,$C77,'Arm results'!$D$2:$D$201,"B0")</f>
        <v/>
      </c>
      <c r="T77" s="22">
        <f>SUMIFS('Arm results'!$AI$2:$AI$201,'Arm results'!$C$2:$C$201,$C77,'Arm results'!$D$2:$D$201,"A1")</f>
        <v/>
      </c>
      <c r="U77" s="8">
        <f>IF(H77=1,T77/S77,"")</f>
        <v/>
      </c>
      <c r="V77" s="23">
        <f>SUMIFS('Arm results'!$AJ$2:$AJ$201,'Arm results'!$C$2:$C$201,$C77,'Arm results'!$D$2:$D$201,"B0")</f>
        <v/>
      </c>
      <c r="W77" s="23">
        <f>SUMIFS('Arm results'!$AJ$2:$AJ$201,'Arm results'!$C$2:$C$201,$C77,'Arm results'!$D$2:$D$201,"A1")</f>
        <v/>
      </c>
      <c r="X77" s="5">
        <f>IF(V77&lt;&gt;W77,1,0)</f>
        <v/>
      </c>
    </row>
    <row r="78">
      <c r="A78" s="5" t="n">
        <v>2</v>
      </c>
      <c r="B78" s="5" t="n">
        <v>27</v>
      </c>
      <c r="C78" s="5" t="inlineStr">
        <is>
          <t>hard2_23</t>
        </is>
      </c>
      <c r="D78" s="5" t="inlineStr">
        <is>
          <t>hard2</t>
        </is>
      </c>
      <c r="E78" s="5" t="inlineStr">
        <is>
          <t>B0</t>
        </is>
      </c>
      <c r="F78" s="5" t="inlineStr">
        <is>
          <t>SUCCEEDED</t>
        </is>
      </c>
      <c r="G78" s="5" t="inlineStr">
        <is>
          <t>SUCCEEDED</t>
        </is>
      </c>
      <c r="H78" s="5">
        <f>IF(AND(F78="SUCCEEDED",G78="SUCCEEDED"),1,0)</f>
        <v/>
      </c>
      <c r="I78" s="17">
        <f>SUMIFS('Arm results'!$O$2:$O$201,'Arm results'!$C$2:$C$201,$C78,'Arm results'!$D$2:$D$201,"B0")</f>
        <v/>
      </c>
      <c r="J78" s="17">
        <f>SUMIFS('Arm results'!$O$2:$O$201,'Arm results'!$C$2:$C$201,$C78,'Arm results'!$D$2:$D$201,"A1")</f>
        <v/>
      </c>
      <c r="K78" s="8">
        <f>IF(H78=1,I78/J78,"")</f>
        <v/>
      </c>
      <c r="L78" s="18">
        <f>IF(H78=1,LN(K78),"")</f>
        <v/>
      </c>
      <c r="M78" s="19">
        <f>IF(H78=1,(I78-J78)/I78,"")</f>
        <v/>
      </c>
      <c r="N78" s="20">
        <f>IF(H78=1,(I78-SUMIFS('Arm results'!$X$2:$X$201,'Arm results'!$C$2:$C$201,$C78,'Arm results'!$D$2:$D$201,"B0"))/(J78-SUMIFS('Arm results'!$X$2:$X$201,'Arm results'!$C$2:$C$201,$C78,'Arm results'!$D$2:$D$201,"A1")),"")</f>
        <v/>
      </c>
      <c r="O78" s="21" t="n">
        <v>2.600828299997374</v>
      </c>
      <c r="P78" s="6" t="n">
        <v>1</v>
      </c>
      <c r="Q78" s="8">
        <f>IF(H78=1,(I78+O78)/(J78+O78),"")</f>
        <v/>
      </c>
      <c r="R78" s="18">
        <f>IF(H78=1,LN(Q78),"")</f>
        <v/>
      </c>
      <c r="S78" s="22">
        <f>SUMIFS('Arm results'!$AI$2:$AI$201,'Arm results'!$C$2:$C$201,$C78,'Arm results'!$D$2:$D$201,"B0")</f>
        <v/>
      </c>
      <c r="T78" s="22">
        <f>SUMIFS('Arm results'!$AI$2:$AI$201,'Arm results'!$C$2:$C$201,$C78,'Arm results'!$D$2:$D$201,"A1")</f>
        <v/>
      </c>
      <c r="U78" s="8">
        <f>IF(H78=1,T78/S78,"")</f>
        <v/>
      </c>
      <c r="V78" s="23">
        <f>SUMIFS('Arm results'!$AJ$2:$AJ$201,'Arm results'!$C$2:$C$201,$C78,'Arm results'!$D$2:$D$201,"B0")</f>
        <v/>
      </c>
      <c r="W78" s="23">
        <f>SUMIFS('Arm results'!$AJ$2:$AJ$201,'Arm results'!$C$2:$C$201,$C78,'Arm results'!$D$2:$D$201,"A1")</f>
        <v/>
      </c>
      <c r="X78" s="5">
        <f>IF(V78&lt;&gt;W78,1,0)</f>
        <v/>
      </c>
    </row>
    <row r="79">
      <c r="A79" s="5" t="n">
        <v>2</v>
      </c>
      <c r="B79" s="5" t="n">
        <v>28</v>
      </c>
      <c r="C79" s="5" t="inlineStr">
        <is>
          <t>protein_1CRN_query_6_mask_2</t>
        </is>
      </c>
      <c r="D79" s="5" t="inlineStr">
        <is>
          <t>med4</t>
        </is>
      </c>
      <c r="E79" s="5" t="inlineStr">
        <is>
          <t>A1</t>
        </is>
      </c>
      <c r="F79" s="5" t="inlineStr">
        <is>
          <t>SUCCEEDED</t>
        </is>
      </c>
      <c r="G79" s="5" t="inlineStr">
        <is>
          <t>SUCCEEDED</t>
        </is>
      </c>
      <c r="H79" s="5">
        <f>IF(AND(F79="SUCCEEDED",G79="SUCCEEDED"),1,0)</f>
        <v/>
      </c>
      <c r="I79" s="17">
        <f>SUMIFS('Arm results'!$O$2:$O$201,'Arm results'!$C$2:$C$201,$C79,'Arm results'!$D$2:$D$201,"B0")</f>
        <v/>
      </c>
      <c r="J79" s="17">
        <f>SUMIFS('Arm results'!$O$2:$O$201,'Arm results'!$C$2:$C$201,$C79,'Arm results'!$D$2:$D$201,"A1")</f>
        <v/>
      </c>
      <c r="K79" s="8">
        <f>IF(H79=1,I79/J79,"")</f>
        <v/>
      </c>
      <c r="L79" s="18">
        <f>IF(H79=1,LN(K79),"")</f>
        <v/>
      </c>
      <c r="M79" s="19">
        <f>IF(H79=1,(I79-J79)/I79,"")</f>
        <v/>
      </c>
      <c r="N79" s="20">
        <f>IF(H79=1,(I79-SUMIFS('Arm results'!$X$2:$X$201,'Arm results'!$C$2:$C$201,$C79,'Arm results'!$D$2:$D$201,"B0"))/(J79-SUMIFS('Arm results'!$X$2:$X$201,'Arm results'!$C$2:$C$201,$C79,'Arm results'!$D$2:$D$201,"A1")),"")</f>
        <v/>
      </c>
      <c r="O79" s="21" t="n">
        <v>2.611659699992742</v>
      </c>
      <c r="P79" s="6" t="n">
        <v>0</v>
      </c>
      <c r="Q79" s="8">
        <f>IF(H79=1,(I79+O79)/(J79+O79),"")</f>
        <v/>
      </c>
      <c r="R79" s="18">
        <f>IF(H79=1,LN(Q79),"")</f>
        <v/>
      </c>
      <c r="S79" s="22">
        <f>SUMIFS('Arm results'!$AI$2:$AI$201,'Arm results'!$C$2:$C$201,$C79,'Arm results'!$D$2:$D$201,"B0")</f>
        <v/>
      </c>
      <c r="T79" s="22">
        <f>SUMIFS('Arm results'!$AI$2:$AI$201,'Arm results'!$C$2:$C$201,$C79,'Arm results'!$D$2:$D$201,"A1")</f>
        <v/>
      </c>
      <c r="U79" s="8">
        <f>IF(H79=1,T79/S79,"")</f>
        <v/>
      </c>
      <c r="V79" s="23">
        <f>SUMIFS('Arm results'!$AJ$2:$AJ$201,'Arm results'!$C$2:$C$201,$C79,'Arm results'!$D$2:$D$201,"B0")</f>
        <v/>
      </c>
      <c r="W79" s="23">
        <f>SUMIFS('Arm results'!$AJ$2:$AJ$201,'Arm results'!$C$2:$C$201,$C79,'Arm results'!$D$2:$D$201,"A1")</f>
        <v/>
      </c>
      <c r="X79" s="5">
        <f>IF(V79&lt;&gt;W79,1,0)</f>
        <v/>
      </c>
    </row>
    <row r="80">
      <c r="A80" s="5" t="n">
        <v>2</v>
      </c>
      <c r="B80" s="5" t="n">
        <v>29</v>
      </c>
      <c r="C80" s="5" t="inlineStr">
        <is>
          <t>protein_1CAD_query_9_mask_2</t>
        </is>
      </c>
      <c r="D80" s="5" t="inlineStr">
        <is>
          <t>med4</t>
        </is>
      </c>
      <c r="E80" s="5" t="inlineStr">
        <is>
          <t>B0</t>
        </is>
      </c>
      <c r="F80" s="5" t="inlineStr">
        <is>
          <t>SUCCEEDED</t>
        </is>
      </c>
      <c r="G80" s="5" t="inlineStr">
        <is>
          <t>SUCCEEDED</t>
        </is>
      </c>
      <c r="H80" s="5">
        <f>IF(AND(F80="SUCCEEDED",G80="SUCCEEDED"),1,0)</f>
        <v/>
      </c>
      <c r="I80" s="17">
        <f>SUMIFS('Arm results'!$O$2:$O$201,'Arm results'!$C$2:$C$201,$C80,'Arm results'!$D$2:$D$201,"B0")</f>
        <v/>
      </c>
      <c r="J80" s="17">
        <f>SUMIFS('Arm results'!$O$2:$O$201,'Arm results'!$C$2:$C$201,$C80,'Arm results'!$D$2:$D$201,"A1")</f>
        <v/>
      </c>
      <c r="K80" s="8">
        <f>IF(H80=1,I80/J80,"")</f>
        <v/>
      </c>
      <c r="L80" s="18">
        <f>IF(H80=1,LN(K80),"")</f>
        <v/>
      </c>
      <c r="M80" s="19">
        <f>IF(H80=1,(I80-J80)/I80,"")</f>
        <v/>
      </c>
      <c r="N80" s="20">
        <f>IF(H80=1,(I80-SUMIFS('Arm results'!$X$2:$X$201,'Arm results'!$C$2:$C$201,$C80,'Arm results'!$D$2:$D$201,"B0"))/(J80-SUMIFS('Arm results'!$X$2:$X$201,'Arm results'!$C$2:$C$201,$C80,'Arm results'!$D$2:$D$201,"A1")),"")</f>
        <v/>
      </c>
      <c r="O80" s="21" t="n">
        <v>2.788627500005532</v>
      </c>
      <c r="P80" s="6" t="n">
        <v>0</v>
      </c>
      <c r="Q80" s="8">
        <f>IF(H80=1,(I80+O80)/(J80+O80),"")</f>
        <v/>
      </c>
      <c r="R80" s="18">
        <f>IF(H80=1,LN(Q80),"")</f>
        <v/>
      </c>
      <c r="S80" s="22">
        <f>SUMIFS('Arm results'!$AI$2:$AI$201,'Arm results'!$C$2:$C$201,$C80,'Arm results'!$D$2:$D$201,"B0")</f>
        <v/>
      </c>
      <c r="T80" s="22">
        <f>SUMIFS('Arm results'!$AI$2:$AI$201,'Arm results'!$C$2:$C$201,$C80,'Arm results'!$D$2:$D$201,"A1")</f>
        <v/>
      </c>
      <c r="U80" s="8">
        <f>IF(H80=1,T80/S80,"")</f>
        <v/>
      </c>
      <c r="V80" s="23">
        <f>SUMIFS('Arm results'!$AJ$2:$AJ$201,'Arm results'!$C$2:$C$201,$C80,'Arm results'!$D$2:$D$201,"B0")</f>
        <v/>
      </c>
      <c r="W80" s="23">
        <f>SUMIFS('Arm results'!$AJ$2:$AJ$201,'Arm results'!$C$2:$C$201,$C80,'Arm results'!$D$2:$D$201,"A1")</f>
        <v/>
      </c>
      <c r="X80" s="5">
        <f>IF(V80&lt;&gt;W80,1,0)</f>
        <v/>
      </c>
    </row>
    <row r="81">
      <c r="A81" s="5" t="n">
        <v>2</v>
      </c>
      <c r="B81" s="5" t="n">
        <v>30</v>
      </c>
      <c r="C81" s="5" t="inlineStr">
        <is>
          <t>protein_8RXN_query_10_mask_2</t>
        </is>
      </c>
      <c r="D81" s="5" t="inlineStr">
        <is>
          <t>med4</t>
        </is>
      </c>
      <c r="E81" s="5" t="inlineStr">
        <is>
          <t>A1</t>
        </is>
      </c>
      <c r="F81" s="5" t="inlineStr">
        <is>
          <t>SUCCEEDED</t>
        </is>
      </c>
      <c r="G81" s="5" t="inlineStr">
        <is>
          <t>SUCCEEDED</t>
        </is>
      </c>
      <c r="H81" s="5">
        <f>IF(AND(F81="SUCCEEDED",G81="SUCCEEDED"),1,0)</f>
        <v/>
      </c>
      <c r="I81" s="17">
        <f>SUMIFS('Arm results'!$O$2:$O$201,'Arm results'!$C$2:$C$201,$C81,'Arm results'!$D$2:$D$201,"B0")</f>
        <v/>
      </c>
      <c r="J81" s="17">
        <f>SUMIFS('Arm results'!$O$2:$O$201,'Arm results'!$C$2:$C$201,$C81,'Arm results'!$D$2:$D$201,"A1")</f>
        <v/>
      </c>
      <c r="K81" s="8">
        <f>IF(H81=1,I81/J81,"")</f>
        <v/>
      </c>
      <c r="L81" s="18">
        <f>IF(H81=1,LN(K81),"")</f>
        <v/>
      </c>
      <c r="M81" s="19">
        <f>IF(H81=1,(I81-J81)/I81,"")</f>
        <v/>
      </c>
      <c r="N81" s="20">
        <f>IF(H81=1,(I81-SUMIFS('Arm results'!$X$2:$X$201,'Arm results'!$C$2:$C$201,$C81,'Arm results'!$D$2:$D$201,"B0"))/(J81-SUMIFS('Arm results'!$X$2:$X$201,'Arm results'!$C$2:$C$201,$C81,'Arm results'!$D$2:$D$201,"A1")),"")</f>
        <v/>
      </c>
      <c r="O81" s="21" t="n">
        <v>2.063502400007565</v>
      </c>
      <c r="P81" s="6" t="n">
        <v>0</v>
      </c>
      <c r="Q81" s="8">
        <f>IF(H81=1,(I81+O81)/(J81+O81),"")</f>
        <v/>
      </c>
      <c r="R81" s="18">
        <f>IF(H81=1,LN(Q81),"")</f>
        <v/>
      </c>
      <c r="S81" s="22">
        <f>SUMIFS('Arm results'!$AI$2:$AI$201,'Arm results'!$C$2:$C$201,$C81,'Arm results'!$D$2:$D$201,"B0")</f>
        <v/>
      </c>
      <c r="T81" s="22">
        <f>SUMIFS('Arm results'!$AI$2:$AI$201,'Arm results'!$C$2:$C$201,$C81,'Arm results'!$D$2:$D$201,"A1")</f>
        <v/>
      </c>
      <c r="U81" s="8">
        <f>IF(H81=1,T81/S81,"")</f>
        <v/>
      </c>
      <c r="V81" s="23">
        <f>SUMIFS('Arm results'!$AJ$2:$AJ$201,'Arm results'!$C$2:$C$201,$C81,'Arm results'!$D$2:$D$201,"B0")</f>
        <v/>
      </c>
      <c r="W81" s="23">
        <f>SUMIFS('Arm results'!$AJ$2:$AJ$201,'Arm results'!$C$2:$C$201,$C81,'Arm results'!$D$2:$D$201,"A1")</f>
        <v/>
      </c>
      <c r="X81" s="5">
        <f>IF(V81&lt;&gt;W81,1,0)</f>
        <v/>
      </c>
    </row>
    <row r="82">
      <c r="A82" s="5" t="n">
        <v>2</v>
      </c>
      <c r="B82" s="5" t="n">
        <v>31</v>
      </c>
      <c r="C82" s="5" t="inlineStr">
        <is>
          <t>easy2_31</t>
        </is>
      </c>
      <c r="D82" s="5" t="inlineStr">
        <is>
          <t>easy2</t>
        </is>
      </c>
      <c r="E82" s="5" t="inlineStr">
        <is>
          <t>B0</t>
        </is>
      </c>
      <c r="F82" s="5" t="inlineStr">
        <is>
          <t>SUCCEEDED</t>
        </is>
      </c>
      <c r="G82" s="5" t="inlineStr">
        <is>
          <t>SUCCEEDED</t>
        </is>
      </c>
      <c r="H82" s="5">
        <f>IF(AND(F82="SUCCEEDED",G82="SUCCEEDED"),1,0)</f>
        <v/>
      </c>
      <c r="I82" s="17">
        <f>SUMIFS('Arm results'!$O$2:$O$201,'Arm results'!$C$2:$C$201,$C82,'Arm results'!$D$2:$D$201,"B0")</f>
        <v/>
      </c>
      <c r="J82" s="17">
        <f>SUMIFS('Arm results'!$O$2:$O$201,'Arm results'!$C$2:$C$201,$C82,'Arm results'!$D$2:$D$201,"A1")</f>
        <v/>
      </c>
      <c r="K82" s="8">
        <f>IF(H82=1,I82/J82,"")</f>
        <v/>
      </c>
      <c r="L82" s="18">
        <f>IF(H82=1,LN(K82),"")</f>
        <v/>
      </c>
      <c r="M82" s="19">
        <f>IF(H82=1,(I82-J82)/I82,"")</f>
        <v/>
      </c>
      <c r="N82" s="20">
        <f>IF(H82=1,(I82-SUMIFS('Arm results'!$X$2:$X$201,'Arm results'!$C$2:$C$201,$C82,'Arm results'!$D$2:$D$201,"B0"))/(J82-SUMIFS('Arm results'!$X$2:$X$201,'Arm results'!$C$2:$C$201,$C82,'Arm results'!$D$2:$D$201,"A1")),"")</f>
        <v/>
      </c>
      <c r="O82" s="21" t="n">
        <v>1.430302899971139</v>
      </c>
      <c r="P82" s="6" t="n">
        <v>1</v>
      </c>
      <c r="Q82" s="8">
        <f>IF(H82=1,(I82+O82)/(J82+O82),"")</f>
        <v/>
      </c>
      <c r="R82" s="18">
        <f>IF(H82=1,LN(Q82),"")</f>
        <v/>
      </c>
      <c r="S82" s="22">
        <f>SUMIFS('Arm results'!$AI$2:$AI$201,'Arm results'!$C$2:$C$201,$C82,'Arm results'!$D$2:$D$201,"B0")</f>
        <v/>
      </c>
      <c r="T82" s="22">
        <f>SUMIFS('Arm results'!$AI$2:$AI$201,'Arm results'!$C$2:$C$201,$C82,'Arm results'!$D$2:$D$201,"A1")</f>
        <v/>
      </c>
      <c r="U82" s="8">
        <f>IF(H82=1,T82/S82,"")</f>
        <v/>
      </c>
      <c r="V82" s="23">
        <f>SUMIFS('Arm results'!$AJ$2:$AJ$201,'Arm results'!$C$2:$C$201,$C82,'Arm results'!$D$2:$D$201,"B0")</f>
        <v/>
      </c>
      <c r="W82" s="23">
        <f>SUMIFS('Arm results'!$AJ$2:$AJ$201,'Arm results'!$C$2:$C$201,$C82,'Arm results'!$D$2:$D$201,"A1")</f>
        <v/>
      </c>
      <c r="X82" s="5">
        <f>IF(V82&lt;&gt;W82,1,0)</f>
        <v/>
      </c>
    </row>
    <row r="83">
      <c r="A83" s="5" t="n">
        <v>2</v>
      </c>
      <c r="B83" s="5" t="n">
        <v>32</v>
      </c>
      <c r="C83" s="5" t="inlineStr">
        <is>
          <t>easy2_17</t>
        </is>
      </c>
      <c r="D83" s="5" t="inlineStr">
        <is>
          <t>easy2</t>
        </is>
      </c>
      <c r="E83" s="5" t="inlineStr">
        <is>
          <t>A1</t>
        </is>
      </c>
      <c r="F83" s="5" t="inlineStr">
        <is>
          <t>SUCCEEDED</t>
        </is>
      </c>
      <c r="G83" s="5" t="inlineStr">
        <is>
          <t>FAILED</t>
        </is>
      </c>
      <c r="H83" s="5">
        <f>IF(AND(F83="SUCCEEDED",G83="SUCCEEDED"),1,0)</f>
        <v/>
      </c>
      <c r="I83" s="17">
        <f>SUMIFS('Arm results'!$O$2:$O$201,'Arm results'!$C$2:$C$201,$C83,'Arm results'!$D$2:$D$201,"B0")</f>
        <v/>
      </c>
      <c r="J83" s="17">
        <f>SUMIFS('Arm results'!$O$2:$O$201,'Arm results'!$C$2:$C$201,$C83,'Arm results'!$D$2:$D$201,"A1")</f>
        <v/>
      </c>
      <c r="K83" s="8">
        <f>IF(H83=1,I83/J83,"")</f>
        <v/>
      </c>
      <c r="L83" s="18">
        <f>IF(H83=1,LN(K83),"")</f>
        <v/>
      </c>
      <c r="M83" s="19">
        <f>IF(H83=1,(I83-J83)/I83,"")</f>
        <v/>
      </c>
      <c r="N83" s="20">
        <f>IF(H83=1,(I83-SUMIFS('Arm results'!$X$2:$X$201,'Arm results'!$C$2:$C$201,$C83,'Arm results'!$D$2:$D$201,"B0"))/(J83-SUMIFS('Arm results'!$X$2:$X$201,'Arm results'!$C$2:$C$201,$C83,'Arm results'!$D$2:$D$201,"A1")),"")</f>
        <v/>
      </c>
      <c r="O83" s="21" t="n">
        <v>1.99771199998213</v>
      </c>
      <c r="P83" s="6" t="n">
        <v>1</v>
      </c>
      <c r="Q83" s="8">
        <f>IF(H83=1,(I83+O83)/(J83+O83),"")</f>
        <v/>
      </c>
      <c r="R83" s="18">
        <f>IF(H83=1,LN(Q83),"")</f>
        <v/>
      </c>
      <c r="S83" s="22">
        <f>SUMIFS('Arm results'!$AI$2:$AI$201,'Arm results'!$C$2:$C$201,$C83,'Arm results'!$D$2:$D$201,"B0")</f>
        <v/>
      </c>
      <c r="T83" s="22">
        <f>SUMIFS('Arm results'!$AI$2:$AI$201,'Arm results'!$C$2:$C$201,$C83,'Arm results'!$D$2:$D$201,"A1")</f>
        <v/>
      </c>
      <c r="U83" s="8">
        <f>IF(H83=1,T83/S83,"")</f>
        <v/>
      </c>
      <c r="V83" s="23">
        <f>SUMIFS('Arm results'!$AJ$2:$AJ$201,'Arm results'!$C$2:$C$201,$C83,'Arm results'!$D$2:$D$201,"B0")</f>
        <v/>
      </c>
      <c r="W83" s="23">
        <f>SUMIFS('Arm results'!$AJ$2:$AJ$201,'Arm results'!$C$2:$C$201,$C83,'Arm results'!$D$2:$D$201,"A1")</f>
        <v/>
      </c>
      <c r="X83" s="5">
        <f>IF(V83&lt;&gt;W83,1,0)</f>
        <v/>
      </c>
    </row>
    <row r="84">
      <c r="A84" s="5" t="n">
        <v>2</v>
      </c>
      <c r="B84" s="5" t="n">
        <v>33</v>
      </c>
      <c r="C84" s="5" t="inlineStr">
        <is>
          <t>hard3_3</t>
        </is>
      </c>
      <c r="D84" s="5" t="inlineStr">
        <is>
          <t>hard3</t>
        </is>
      </c>
      <c r="E84" s="5" t="inlineStr">
        <is>
          <t>B0</t>
        </is>
      </c>
      <c r="F84" s="5" t="inlineStr">
        <is>
          <t>SUCCEEDED</t>
        </is>
      </c>
      <c r="G84" s="5" t="inlineStr">
        <is>
          <t>SUCCEEDED</t>
        </is>
      </c>
      <c r="H84" s="5">
        <f>IF(AND(F84="SUCCEEDED",G84="SUCCEEDED"),1,0)</f>
        <v/>
      </c>
      <c r="I84" s="17">
        <f>SUMIFS('Arm results'!$O$2:$O$201,'Arm results'!$C$2:$C$201,$C84,'Arm results'!$D$2:$D$201,"B0")</f>
        <v/>
      </c>
      <c r="J84" s="17">
        <f>SUMIFS('Arm results'!$O$2:$O$201,'Arm results'!$C$2:$C$201,$C84,'Arm results'!$D$2:$D$201,"A1")</f>
        <v/>
      </c>
      <c r="K84" s="8">
        <f>IF(H84=1,I84/J84,"")</f>
        <v/>
      </c>
      <c r="L84" s="18">
        <f>IF(H84=1,LN(K84),"")</f>
        <v/>
      </c>
      <c r="M84" s="19">
        <f>IF(H84=1,(I84-J84)/I84,"")</f>
        <v/>
      </c>
      <c r="N84" s="20">
        <f>IF(H84=1,(I84-SUMIFS('Arm results'!$X$2:$X$201,'Arm results'!$C$2:$C$201,$C84,'Arm results'!$D$2:$D$201,"B0"))/(J84-SUMIFS('Arm results'!$X$2:$X$201,'Arm results'!$C$2:$C$201,$C84,'Arm results'!$D$2:$D$201,"A1")),"")</f>
        <v/>
      </c>
      <c r="O84" s="21" t="n">
        <v>4.98887670005206</v>
      </c>
      <c r="P84" s="6" t="n">
        <v>1</v>
      </c>
      <c r="Q84" s="8">
        <f>IF(H84=1,(I84+O84)/(J84+O84),"")</f>
        <v/>
      </c>
      <c r="R84" s="18">
        <f>IF(H84=1,LN(Q84),"")</f>
        <v/>
      </c>
      <c r="S84" s="22">
        <f>SUMIFS('Arm results'!$AI$2:$AI$201,'Arm results'!$C$2:$C$201,$C84,'Arm results'!$D$2:$D$201,"B0")</f>
        <v/>
      </c>
      <c r="T84" s="22">
        <f>SUMIFS('Arm results'!$AI$2:$AI$201,'Arm results'!$C$2:$C$201,$C84,'Arm results'!$D$2:$D$201,"A1")</f>
        <v/>
      </c>
      <c r="U84" s="8">
        <f>IF(H84=1,T84/S84,"")</f>
        <v/>
      </c>
      <c r="V84" s="23">
        <f>SUMIFS('Arm results'!$AJ$2:$AJ$201,'Arm results'!$C$2:$C$201,$C84,'Arm results'!$D$2:$D$201,"B0")</f>
        <v/>
      </c>
      <c r="W84" s="23">
        <f>SUMIFS('Arm results'!$AJ$2:$AJ$201,'Arm results'!$C$2:$C$201,$C84,'Arm results'!$D$2:$D$201,"A1")</f>
        <v/>
      </c>
      <c r="X84" s="5">
        <f>IF(V84&lt;&gt;W84,1,0)</f>
        <v/>
      </c>
    </row>
    <row r="85">
      <c r="A85" s="5" t="n">
        <v>2</v>
      </c>
      <c r="B85" s="5" t="n">
        <v>34</v>
      </c>
      <c r="C85" s="5" t="inlineStr">
        <is>
          <t>protein_1CRN_query_6_mask_4</t>
        </is>
      </c>
      <c r="D85" s="5" t="inlineStr">
        <is>
          <t>hard4</t>
        </is>
      </c>
      <c r="E85" s="5" t="inlineStr">
        <is>
          <t>A1</t>
        </is>
      </c>
      <c r="F85" s="5" t="inlineStr">
        <is>
          <t>SUCCEEDED</t>
        </is>
      </c>
      <c r="G85" s="5" t="inlineStr">
        <is>
          <t>SUCCEEDED</t>
        </is>
      </c>
      <c r="H85" s="5">
        <f>IF(AND(F85="SUCCEEDED",G85="SUCCEEDED"),1,0)</f>
        <v/>
      </c>
      <c r="I85" s="17">
        <f>SUMIFS('Arm results'!$O$2:$O$201,'Arm results'!$C$2:$C$201,$C85,'Arm results'!$D$2:$D$201,"B0")</f>
        <v/>
      </c>
      <c r="J85" s="17">
        <f>SUMIFS('Arm results'!$O$2:$O$201,'Arm results'!$C$2:$C$201,$C85,'Arm results'!$D$2:$D$201,"A1")</f>
        <v/>
      </c>
      <c r="K85" s="8">
        <f>IF(H85=1,I85/J85,"")</f>
        <v/>
      </c>
      <c r="L85" s="18">
        <f>IF(H85=1,LN(K85),"")</f>
        <v/>
      </c>
      <c r="M85" s="19">
        <f>IF(H85=1,(I85-J85)/I85,"")</f>
        <v/>
      </c>
      <c r="N85" s="20">
        <f>IF(H85=1,(I85-SUMIFS('Arm results'!$X$2:$X$201,'Arm results'!$C$2:$C$201,$C85,'Arm results'!$D$2:$D$201,"B0"))/(J85-SUMIFS('Arm results'!$X$2:$X$201,'Arm results'!$C$2:$C$201,$C85,'Arm results'!$D$2:$D$201,"A1")),"")</f>
        <v/>
      </c>
      <c r="O85" s="21" t="n">
        <v>2.087985899997875</v>
      </c>
      <c r="P85" s="6" t="n">
        <v>0</v>
      </c>
      <c r="Q85" s="8">
        <f>IF(H85=1,(I85+O85)/(J85+O85),"")</f>
        <v/>
      </c>
      <c r="R85" s="18">
        <f>IF(H85=1,LN(Q85),"")</f>
        <v/>
      </c>
      <c r="S85" s="22">
        <f>SUMIFS('Arm results'!$AI$2:$AI$201,'Arm results'!$C$2:$C$201,$C85,'Arm results'!$D$2:$D$201,"B0")</f>
        <v/>
      </c>
      <c r="T85" s="22">
        <f>SUMIFS('Arm results'!$AI$2:$AI$201,'Arm results'!$C$2:$C$201,$C85,'Arm results'!$D$2:$D$201,"A1")</f>
        <v/>
      </c>
      <c r="U85" s="8">
        <f>IF(H85=1,T85/S85,"")</f>
        <v/>
      </c>
      <c r="V85" s="23">
        <f>SUMIFS('Arm results'!$AJ$2:$AJ$201,'Arm results'!$C$2:$C$201,$C85,'Arm results'!$D$2:$D$201,"B0")</f>
        <v/>
      </c>
      <c r="W85" s="23">
        <f>SUMIFS('Arm results'!$AJ$2:$AJ$201,'Arm results'!$C$2:$C$201,$C85,'Arm results'!$D$2:$D$201,"A1")</f>
        <v/>
      </c>
      <c r="X85" s="5">
        <f>IF(V85&lt;&gt;W85,1,0)</f>
        <v/>
      </c>
    </row>
    <row r="86">
      <c r="A86" s="5" t="n">
        <v>2</v>
      </c>
      <c r="B86" s="5" t="n">
        <v>35</v>
      </c>
      <c r="C86" s="5" t="inlineStr">
        <is>
          <t>hard2_41</t>
        </is>
      </c>
      <c r="D86" s="5" t="inlineStr">
        <is>
          <t>hard2</t>
        </is>
      </c>
      <c r="E86" s="5" t="inlineStr">
        <is>
          <t>B0</t>
        </is>
      </c>
      <c r="F86" s="5" t="inlineStr">
        <is>
          <t>SUCCEEDED</t>
        </is>
      </c>
      <c r="G86" s="5" t="inlineStr">
        <is>
          <t>SUCCEEDED</t>
        </is>
      </c>
      <c r="H86" s="5">
        <f>IF(AND(F86="SUCCEEDED",G86="SUCCEEDED"),1,0)</f>
        <v/>
      </c>
      <c r="I86" s="17">
        <f>SUMIFS('Arm results'!$O$2:$O$201,'Arm results'!$C$2:$C$201,$C86,'Arm results'!$D$2:$D$201,"B0")</f>
        <v/>
      </c>
      <c r="J86" s="17">
        <f>SUMIFS('Arm results'!$O$2:$O$201,'Arm results'!$C$2:$C$201,$C86,'Arm results'!$D$2:$D$201,"A1")</f>
        <v/>
      </c>
      <c r="K86" s="8">
        <f>IF(H86=1,I86/J86,"")</f>
        <v/>
      </c>
      <c r="L86" s="18">
        <f>IF(H86=1,LN(K86),"")</f>
        <v/>
      </c>
      <c r="M86" s="19">
        <f>IF(H86=1,(I86-J86)/I86,"")</f>
        <v/>
      </c>
      <c r="N86" s="20">
        <f>IF(H86=1,(I86-SUMIFS('Arm results'!$X$2:$X$201,'Arm results'!$C$2:$C$201,$C86,'Arm results'!$D$2:$D$201,"B0"))/(J86-SUMIFS('Arm results'!$X$2:$X$201,'Arm results'!$C$2:$C$201,$C86,'Arm results'!$D$2:$D$201,"A1")),"")</f>
        <v/>
      </c>
      <c r="O86" s="21" t="n">
        <v>3.850676400004886</v>
      </c>
      <c r="P86" s="6" t="n">
        <v>1</v>
      </c>
      <c r="Q86" s="8">
        <f>IF(H86=1,(I86+O86)/(J86+O86),"")</f>
        <v/>
      </c>
      <c r="R86" s="18">
        <f>IF(H86=1,LN(Q86),"")</f>
        <v/>
      </c>
      <c r="S86" s="22">
        <f>SUMIFS('Arm results'!$AI$2:$AI$201,'Arm results'!$C$2:$C$201,$C86,'Arm results'!$D$2:$D$201,"B0")</f>
        <v/>
      </c>
      <c r="T86" s="22">
        <f>SUMIFS('Arm results'!$AI$2:$AI$201,'Arm results'!$C$2:$C$201,$C86,'Arm results'!$D$2:$D$201,"A1")</f>
        <v/>
      </c>
      <c r="U86" s="8">
        <f>IF(H86=1,T86/S86,"")</f>
        <v/>
      </c>
      <c r="V86" s="23">
        <f>SUMIFS('Arm results'!$AJ$2:$AJ$201,'Arm results'!$C$2:$C$201,$C86,'Arm results'!$D$2:$D$201,"B0")</f>
        <v/>
      </c>
      <c r="W86" s="23">
        <f>SUMIFS('Arm results'!$AJ$2:$AJ$201,'Arm results'!$C$2:$C$201,$C86,'Arm results'!$D$2:$D$201,"A1")</f>
        <v/>
      </c>
      <c r="X86" s="5">
        <f>IF(V86&lt;&gt;W86,1,0)</f>
        <v/>
      </c>
    </row>
    <row r="87">
      <c r="A87" s="5" t="n">
        <v>2</v>
      </c>
      <c r="B87" s="5" t="n">
        <v>36</v>
      </c>
      <c r="C87" s="5" t="inlineStr">
        <is>
          <t>hard2_0</t>
        </is>
      </c>
      <c r="D87" s="5" t="inlineStr">
        <is>
          <t>hard2</t>
        </is>
      </c>
      <c r="E87" s="5" t="inlineStr">
        <is>
          <t>A1</t>
        </is>
      </c>
      <c r="F87" s="5" t="inlineStr">
        <is>
          <t>SUCCEEDED</t>
        </is>
      </c>
      <c r="G87" s="5" t="inlineStr">
        <is>
          <t>SUCCEEDED</t>
        </is>
      </c>
      <c r="H87" s="5">
        <f>IF(AND(F87="SUCCEEDED",G87="SUCCEEDED"),1,0)</f>
        <v/>
      </c>
      <c r="I87" s="17">
        <f>SUMIFS('Arm results'!$O$2:$O$201,'Arm results'!$C$2:$C$201,$C87,'Arm results'!$D$2:$D$201,"B0")</f>
        <v/>
      </c>
      <c r="J87" s="17">
        <f>SUMIFS('Arm results'!$O$2:$O$201,'Arm results'!$C$2:$C$201,$C87,'Arm results'!$D$2:$D$201,"A1")</f>
        <v/>
      </c>
      <c r="K87" s="8">
        <f>IF(H87=1,I87/J87,"")</f>
        <v/>
      </c>
      <c r="L87" s="18">
        <f>IF(H87=1,LN(K87),"")</f>
        <v/>
      </c>
      <c r="M87" s="19">
        <f>IF(H87=1,(I87-J87)/I87,"")</f>
        <v/>
      </c>
      <c r="N87" s="20">
        <f>IF(H87=1,(I87-SUMIFS('Arm results'!$X$2:$X$201,'Arm results'!$C$2:$C$201,$C87,'Arm results'!$D$2:$D$201,"B0"))/(J87-SUMIFS('Arm results'!$X$2:$X$201,'Arm results'!$C$2:$C$201,$C87,'Arm results'!$D$2:$D$201,"A1")),"")</f>
        <v/>
      </c>
      <c r="O87" s="21" t="n">
        <v>2.667232899984811</v>
      </c>
      <c r="P87" s="6" t="n">
        <v>1</v>
      </c>
      <c r="Q87" s="8">
        <f>IF(H87=1,(I87+O87)/(J87+O87),"")</f>
        <v/>
      </c>
      <c r="R87" s="18">
        <f>IF(H87=1,LN(Q87),"")</f>
        <v/>
      </c>
      <c r="S87" s="22">
        <f>SUMIFS('Arm results'!$AI$2:$AI$201,'Arm results'!$C$2:$C$201,$C87,'Arm results'!$D$2:$D$201,"B0")</f>
        <v/>
      </c>
      <c r="T87" s="22">
        <f>SUMIFS('Arm results'!$AI$2:$AI$201,'Arm results'!$C$2:$C$201,$C87,'Arm results'!$D$2:$D$201,"A1")</f>
        <v/>
      </c>
      <c r="U87" s="8">
        <f>IF(H87=1,T87/S87,"")</f>
        <v/>
      </c>
      <c r="V87" s="23">
        <f>SUMIFS('Arm results'!$AJ$2:$AJ$201,'Arm results'!$C$2:$C$201,$C87,'Arm results'!$D$2:$D$201,"B0")</f>
        <v/>
      </c>
      <c r="W87" s="23">
        <f>SUMIFS('Arm results'!$AJ$2:$AJ$201,'Arm results'!$C$2:$C$201,$C87,'Arm results'!$D$2:$D$201,"A1")</f>
        <v/>
      </c>
      <c r="X87" s="5">
        <f>IF(V87&lt;&gt;W87,1,0)</f>
        <v/>
      </c>
    </row>
    <row r="88">
      <c r="A88" s="5" t="n">
        <v>2</v>
      </c>
      <c r="B88" s="5" t="n">
        <v>37</v>
      </c>
      <c r="C88" s="5" t="inlineStr">
        <is>
          <t>med1_32</t>
        </is>
      </c>
      <c r="D88" s="5" t="inlineStr">
        <is>
          <t>med1</t>
        </is>
      </c>
      <c r="E88" s="5" t="inlineStr">
        <is>
          <t>B0</t>
        </is>
      </c>
      <c r="F88" s="5" t="inlineStr">
        <is>
          <t>SUCCEEDED</t>
        </is>
      </c>
      <c r="G88" s="5" t="inlineStr">
        <is>
          <t>SUCCEEDED</t>
        </is>
      </c>
      <c r="H88" s="5">
        <f>IF(AND(F88="SUCCEEDED",G88="SUCCEEDED"),1,0)</f>
        <v/>
      </c>
      <c r="I88" s="17">
        <f>SUMIFS('Arm results'!$O$2:$O$201,'Arm results'!$C$2:$C$201,$C88,'Arm results'!$D$2:$D$201,"B0")</f>
        <v/>
      </c>
      <c r="J88" s="17">
        <f>SUMIFS('Arm results'!$O$2:$O$201,'Arm results'!$C$2:$C$201,$C88,'Arm results'!$D$2:$D$201,"A1")</f>
        <v/>
      </c>
      <c r="K88" s="8">
        <f>IF(H88=1,I88/J88,"")</f>
        <v/>
      </c>
      <c r="L88" s="18">
        <f>IF(H88=1,LN(K88),"")</f>
        <v/>
      </c>
      <c r="M88" s="19">
        <f>IF(H88=1,(I88-J88)/I88,"")</f>
        <v/>
      </c>
      <c r="N88" s="20">
        <f>IF(H88=1,(I88-SUMIFS('Arm results'!$X$2:$X$201,'Arm results'!$C$2:$C$201,$C88,'Arm results'!$D$2:$D$201,"B0"))/(J88-SUMIFS('Arm results'!$X$2:$X$201,'Arm results'!$C$2:$C$201,$C88,'Arm results'!$D$2:$D$201,"A1")),"")</f>
        <v/>
      </c>
      <c r="O88" s="21" t="n">
        <v>3.357595700013917</v>
      </c>
      <c r="P88" s="6" t="n">
        <v>1</v>
      </c>
      <c r="Q88" s="8">
        <f>IF(H88=1,(I88+O88)/(J88+O88),"")</f>
        <v/>
      </c>
      <c r="R88" s="18">
        <f>IF(H88=1,LN(Q88),"")</f>
        <v/>
      </c>
      <c r="S88" s="22">
        <f>SUMIFS('Arm results'!$AI$2:$AI$201,'Arm results'!$C$2:$C$201,$C88,'Arm results'!$D$2:$D$201,"B0")</f>
        <v/>
      </c>
      <c r="T88" s="22">
        <f>SUMIFS('Arm results'!$AI$2:$AI$201,'Arm results'!$C$2:$C$201,$C88,'Arm results'!$D$2:$D$201,"A1")</f>
        <v/>
      </c>
      <c r="U88" s="8">
        <f>IF(H88=1,T88/S88,"")</f>
        <v/>
      </c>
      <c r="V88" s="23">
        <f>SUMIFS('Arm results'!$AJ$2:$AJ$201,'Arm results'!$C$2:$C$201,$C88,'Arm results'!$D$2:$D$201,"B0")</f>
        <v/>
      </c>
      <c r="W88" s="23">
        <f>SUMIFS('Arm results'!$AJ$2:$AJ$201,'Arm results'!$C$2:$C$201,$C88,'Arm results'!$D$2:$D$201,"A1")</f>
        <v/>
      </c>
      <c r="X88" s="5">
        <f>IF(V88&lt;&gt;W88,1,0)</f>
        <v/>
      </c>
    </row>
    <row r="89">
      <c r="A89" s="5" t="n">
        <v>2</v>
      </c>
      <c r="B89" s="5" t="n">
        <v>38</v>
      </c>
      <c r="C89" s="5" t="inlineStr">
        <is>
          <t>easy1_35</t>
        </is>
      </c>
      <c r="D89" s="5" t="inlineStr">
        <is>
          <t>easy1</t>
        </is>
      </c>
      <c r="E89" s="5" t="inlineStr">
        <is>
          <t>A1</t>
        </is>
      </c>
      <c r="F89" s="5" t="inlineStr">
        <is>
          <t>SUCCEEDED</t>
        </is>
      </c>
      <c r="G89" s="5" t="inlineStr">
        <is>
          <t>SUCCEEDED</t>
        </is>
      </c>
      <c r="H89" s="5">
        <f>IF(AND(F89="SUCCEEDED",G89="SUCCEEDED"),1,0)</f>
        <v/>
      </c>
      <c r="I89" s="17">
        <f>SUMIFS('Arm results'!$O$2:$O$201,'Arm results'!$C$2:$C$201,$C89,'Arm results'!$D$2:$D$201,"B0")</f>
        <v/>
      </c>
      <c r="J89" s="17">
        <f>SUMIFS('Arm results'!$O$2:$O$201,'Arm results'!$C$2:$C$201,$C89,'Arm results'!$D$2:$D$201,"A1")</f>
        <v/>
      </c>
      <c r="K89" s="8">
        <f>IF(H89=1,I89/J89,"")</f>
        <v/>
      </c>
      <c r="L89" s="18">
        <f>IF(H89=1,LN(K89),"")</f>
        <v/>
      </c>
      <c r="M89" s="19">
        <f>IF(H89=1,(I89-J89)/I89,"")</f>
        <v/>
      </c>
      <c r="N89" s="20">
        <f>IF(H89=1,(I89-SUMIFS('Arm results'!$X$2:$X$201,'Arm results'!$C$2:$C$201,$C89,'Arm results'!$D$2:$D$201,"B0"))/(J89-SUMIFS('Arm results'!$X$2:$X$201,'Arm results'!$C$2:$C$201,$C89,'Arm results'!$D$2:$D$201,"A1")),"")</f>
        <v/>
      </c>
      <c r="O89" s="21" t="n">
        <v>2.216351499955636</v>
      </c>
      <c r="P89" s="6" t="n">
        <v>1</v>
      </c>
      <c r="Q89" s="8">
        <f>IF(H89=1,(I89+O89)/(J89+O89),"")</f>
        <v/>
      </c>
      <c r="R89" s="18">
        <f>IF(H89=1,LN(Q89),"")</f>
        <v/>
      </c>
      <c r="S89" s="22">
        <f>SUMIFS('Arm results'!$AI$2:$AI$201,'Arm results'!$C$2:$C$201,$C89,'Arm results'!$D$2:$D$201,"B0")</f>
        <v/>
      </c>
      <c r="T89" s="22">
        <f>SUMIFS('Arm results'!$AI$2:$AI$201,'Arm results'!$C$2:$C$201,$C89,'Arm results'!$D$2:$D$201,"A1")</f>
        <v/>
      </c>
      <c r="U89" s="8">
        <f>IF(H89=1,T89/S89,"")</f>
        <v/>
      </c>
      <c r="V89" s="23">
        <f>SUMIFS('Arm results'!$AJ$2:$AJ$201,'Arm results'!$C$2:$C$201,$C89,'Arm results'!$D$2:$D$201,"B0")</f>
        <v/>
      </c>
      <c r="W89" s="23">
        <f>SUMIFS('Arm results'!$AJ$2:$AJ$201,'Arm results'!$C$2:$C$201,$C89,'Arm results'!$D$2:$D$201,"A1")</f>
        <v/>
      </c>
      <c r="X89" s="5">
        <f>IF(V89&lt;&gt;W89,1,0)</f>
        <v/>
      </c>
    </row>
    <row r="90">
      <c r="A90" s="5" t="n">
        <v>2</v>
      </c>
      <c r="B90" s="5" t="n">
        <v>39</v>
      </c>
      <c r="C90" s="5" t="inlineStr">
        <is>
          <t>hard3_42</t>
        </is>
      </c>
      <c r="D90" s="5" t="inlineStr">
        <is>
          <t>hard3</t>
        </is>
      </c>
      <c r="E90" s="5" t="inlineStr">
        <is>
          <t>B0</t>
        </is>
      </c>
      <c r="F90" s="5" t="inlineStr">
        <is>
          <t>SUCCEEDED</t>
        </is>
      </c>
      <c r="G90" s="5" t="inlineStr">
        <is>
          <t>SUCCEEDED</t>
        </is>
      </c>
      <c r="H90" s="5">
        <f>IF(AND(F90="SUCCEEDED",G90="SUCCEEDED"),1,0)</f>
        <v/>
      </c>
      <c r="I90" s="17">
        <f>SUMIFS('Arm results'!$O$2:$O$201,'Arm results'!$C$2:$C$201,$C90,'Arm results'!$D$2:$D$201,"B0")</f>
        <v/>
      </c>
      <c r="J90" s="17">
        <f>SUMIFS('Arm results'!$O$2:$O$201,'Arm results'!$C$2:$C$201,$C90,'Arm results'!$D$2:$D$201,"A1")</f>
        <v/>
      </c>
      <c r="K90" s="8">
        <f>IF(H90=1,I90/J90,"")</f>
        <v/>
      </c>
      <c r="L90" s="18">
        <f>IF(H90=1,LN(K90),"")</f>
        <v/>
      </c>
      <c r="M90" s="19">
        <f>IF(H90=1,(I90-J90)/I90,"")</f>
        <v/>
      </c>
      <c r="N90" s="20">
        <f>IF(H90=1,(I90-SUMIFS('Arm results'!$X$2:$X$201,'Arm results'!$C$2:$C$201,$C90,'Arm results'!$D$2:$D$201,"B0"))/(J90-SUMIFS('Arm results'!$X$2:$X$201,'Arm results'!$C$2:$C$201,$C90,'Arm results'!$D$2:$D$201,"A1")),"")</f>
        <v/>
      </c>
      <c r="O90" s="21" t="n">
        <v>3.372796500043478</v>
      </c>
      <c r="P90" s="6" t="n">
        <v>0</v>
      </c>
      <c r="Q90" s="8">
        <f>IF(H90=1,(I90+O90)/(J90+O90),"")</f>
        <v/>
      </c>
      <c r="R90" s="18">
        <f>IF(H90=1,LN(Q90),"")</f>
        <v/>
      </c>
      <c r="S90" s="22">
        <f>SUMIFS('Arm results'!$AI$2:$AI$201,'Arm results'!$C$2:$C$201,$C90,'Arm results'!$D$2:$D$201,"B0")</f>
        <v/>
      </c>
      <c r="T90" s="22">
        <f>SUMIFS('Arm results'!$AI$2:$AI$201,'Arm results'!$C$2:$C$201,$C90,'Arm results'!$D$2:$D$201,"A1")</f>
        <v/>
      </c>
      <c r="U90" s="8">
        <f>IF(H90=1,T90/S90,"")</f>
        <v/>
      </c>
      <c r="V90" s="23">
        <f>SUMIFS('Arm results'!$AJ$2:$AJ$201,'Arm results'!$C$2:$C$201,$C90,'Arm results'!$D$2:$D$201,"B0")</f>
        <v/>
      </c>
      <c r="W90" s="23">
        <f>SUMIFS('Arm results'!$AJ$2:$AJ$201,'Arm results'!$C$2:$C$201,$C90,'Arm results'!$D$2:$D$201,"A1")</f>
        <v/>
      </c>
      <c r="X90" s="5">
        <f>IF(V90&lt;&gt;W90,1,0)</f>
        <v/>
      </c>
    </row>
    <row r="91">
      <c r="A91" s="5" t="n">
        <v>2</v>
      </c>
      <c r="B91" s="5" t="n">
        <v>40</v>
      </c>
      <c r="C91" s="5" t="inlineStr">
        <is>
          <t>easy1_40</t>
        </is>
      </c>
      <c r="D91" s="5" t="inlineStr">
        <is>
          <t>easy1</t>
        </is>
      </c>
      <c r="E91" s="5" t="inlineStr">
        <is>
          <t>A1</t>
        </is>
      </c>
      <c r="F91" s="5" t="inlineStr">
        <is>
          <t>SUCCEEDED</t>
        </is>
      </c>
      <c r="G91" s="5" t="inlineStr">
        <is>
          <t>SUCCEEDED</t>
        </is>
      </c>
      <c r="H91" s="5">
        <f>IF(AND(F91="SUCCEEDED",G91="SUCCEEDED"),1,0)</f>
        <v/>
      </c>
      <c r="I91" s="17">
        <f>SUMIFS('Arm results'!$O$2:$O$201,'Arm results'!$C$2:$C$201,$C91,'Arm results'!$D$2:$D$201,"B0")</f>
        <v/>
      </c>
      <c r="J91" s="17">
        <f>SUMIFS('Arm results'!$O$2:$O$201,'Arm results'!$C$2:$C$201,$C91,'Arm results'!$D$2:$D$201,"A1")</f>
        <v/>
      </c>
      <c r="K91" s="8">
        <f>IF(H91=1,I91/J91,"")</f>
        <v/>
      </c>
      <c r="L91" s="18">
        <f>IF(H91=1,LN(K91),"")</f>
        <v/>
      </c>
      <c r="M91" s="19">
        <f>IF(H91=1,(I91-J91)/I91,"")</f>
        <v/>
      </c>
      <c r="N91" s="20">
        <f>IF(H91=1,(I91-SUMIFS('Arm results'!$X$2:$X$201,'Arm results'!$C$2:$C$201,$C91,'Arm results'!$D$2:$D$201,"B0"))/(J91-SUMIFS('Arm results'!$X$2:$X$201,'Arm results'!$C$2:$C$201,$C91,'Arm results'!$D$2:$D$201,"A1")),"")</f>
        <v/>
      </c>
      <c r="O91" s="21" t="n">
        <v>4.292165199993178</v>
      </c>
      <c r="P91" s="6" t="n">
        <v>1</v>
      </c>
      <c r="Q91" s="8">
        <f>IF(H91=1,(I91+O91)/(J91+O91),"")</f>
        <v/>
      </c>
      <c r="R91" s="18">
        <f>IF(H91=1,LN(Q91),"")</f>
        <v/>
      </c>
      <c r="S91" s="22">
        <f>SUMIFS('Arm results'!$AI$2:$AI$201,'Arm results'!$C$2:$C$201,$C91,'Arm results'!$D$2:$D$201,"B0")</f>
        <v/>
      </c>
      <c r="T91" s="22">
        <f>SUMIFS('Arm results'!$AI$2:$AI$201,'Arm results'!$C$2:$C$201,$C91,'Arm results'!$D$2:$D$201,"A1")</f>
        <v/>
      </c>
      <c r="U91" s="8">
        <f>IF(H91=1,T91/S91,"")</f>
        <v/>
      </c>
      <c r="V91" s="23">
        <f>SUMIFS('Arm results'!$AJ$2:$AJ$201,'Arm results'!$C$2:$C$201,$C91,'Arm results'!$D$2:$D$201,"B0")</f>
        <v/>
      </c>
      <c r="W91" s="23">
        <f>SUMIFS('Arm results'!$AJ$2:$AJ$201,'Arm results'!$C$2:$C$201,$C91,'Arm results'!$D$2:$D$201,"A1")</f>
        <v/>
      </c>
      <c r="X91" s="5">
        <f>IF(V91&lt;&gt;W91,1,0)</f>
        <v/>
      </c>
    </row>
    <row r="92">
      <c r="A92" s="5" t="n">
        <v>2</v>
      </c>
      <c r="B92" s="5" t="n">
        <v>41</v>
      </c>
      <c r="C92" s="5" t="inlineStr">
        <is>
          <t>med3_4</t>
        </is>
      </c>
      <c r="D92" s="5" t="inlineStr">
        <is>
          <t>med3</t>
        </is>
      </c>
      <c r="E92" s="5" t="inlineStr">
        <is>
          <t>B0</t>
        </is>
      </c>
      <c r="F92" s="5" t="inlineStr">
        <is>
          <t>SUCCEEDED</t>
        </is>
      </c>
      <c r="G92" s="5" t="inlineStr">
        <is>
          <t>SUCCEEDED</t>
        </is>
      </c>
      <c r="H92" s="5">
        <f>IF(AND(F92="SUCCEEDED",G92="SUCCEEDED"),1,0)</f>
        <v/>
      </c>
      <c r="I92" s="17">
        <f>SUMIFS('Arm results'!$O$2:$O$201,'Arm results'!$C$2:$C$201,$C92,'Arm results'!$D$2:$D$201,"B0")</f>
        <v/>
      </c>
      <c r="J92" s="17">
        <f>SUMIFS('Arm results'!$O$2:$O$201,'Arm results'!$C$2:$C$201,$C92,'Arm results'!$D$2:$D$201,"A1")</f>
        <v/>
      </c>
      <c r="K92" s="8">
        <f>IF(H92=1,I92/J92,"")</f>
        <v/>
      </c>
      <c r="L92" s="18">
        <f>IF(H92=1,LN(K92),"")</f>
        <v/>
      </c>
      <c r="M92" s="19">
        <f>IF(H92=1,(I92-J92)/I92,"")</f>
        <v/>
      </c>
      <c r="N92" s="20">
        <f>IF(H92=1,(I92-SUMIFS('Arm results'!$X$2:$X$201,'Arm results'!$C$2:$C$201,$C92,'Arm results'!$D$2:$D$201,"B0"))/(J92-SUMIFS('Arm results'!$X$2:$X$201,'Arm results'!$C$2:$C$201,$C92,'Arm results'!$D$2:$D$201,"A1")),"")</f>
        <v/>
      </c>
      <c r="O92" s="21" t="n">
        <v>2.945508100034203</v>
      </c>
      <c r="P92" s="6" t="n">
        <v>1</v>
      </c>
      <c r="Q92" s="8">
        <f>IF(H92=1,(I92+O92)/(J92+O92),"")</f>
        <v/>
      </c>
      <c r="R92" s="18">
        <f>IF(H92=1,LN(Q92),"")</f>
        <v/>
      </c>
      <c r="S92" s="22">
        <f>SUMIFS('Arm results'!$AI$2:$AI$201,'Arm results'!$C$2:$C$201,$C92,'Arm results'!$D$2:$D$201,"B0")</f>
        <v/>
      </c>
      <c r="T92" s="22">
        <f>SUMIFS('Arm results'!$AI$2:$AI$201,'Arm results'!$C$2:$C$201,$C92,'Arm results'!$D$2:$D$201,"A1")</f>
        <v/>
      </c>
      <c r="U92" s="8">
        <f>IF(H92=1,T92/S92,"")</f>
        <v/>
      </c>
      <c r="V92" s="23">
        <f>SUMIFS('Arm results'!$AJ$2:$AJ$201,'Arm results'!$C$2:$C$201,$C92,'Arm results'!$D$2:$D$201,"B0")</f>
        <v/>
      </c>
      <c r="W92" s="23">
        <f>SUMIFS('Arm results'!$AJ$2:$AJ$201,'Arm results'!$C$2:$C$201,$C92,'Arm results'!$D$2:$D$201,"A1")</f>
        <v/>
      </c>
      <c r="X92" s="5">
        <f>IF(V92&lt;&gt;W92,1,0)</f>
        <v/>
      </c>
    </row>
    <row r="93">
      <c r="A93" s="5" t="n">
        <v>2</v>
      </c>
      <c r="B93" s="5" t="n">
        <v>42</v>
      </c>
      <c r="C93" s="5" t="inlineStr">
        <is>
          <t>med1_12</t>
        </is>
      </c>
      <c r="D93" s="5" t="inlineStr">
        <is>
          <t>med1</t>
        </is>
      </c>
      <c r="E93" s="5" t="inlineStr">
        <is>
          <t>A1</t>
        </is>
      </c>
      <c r="F93" s="5" t="inlineStr">
        <is>
          <t>SUCCEEDED</t>
        </is>
      </c>
      <c r="G93" s="5" t="inlineStr">
        <is>
          <t>SUCCEEDED</t>
        </is>
      </c>
      <c r="H93" s="5">
        <f>IF(AND(F93="SUCCEEDED",G93="SUCCEEDED"),1,0)</f>
        <v/>
      </c>
      <c r="I93" s="17">
        <f>SUMIFS('Arm results'!$O$2:$O$201,'Arm results'!$C$2:$C$201,$C93,'Arm results'!$D$2:$D$201,"B0")</f>
        <v/>
      </c>
      <c r="J93" s="17">
        <f>SUMIFS('Arm results'!$O$2:$O$201,'Arm results'!$C$2:$C$201,$C93,'Arm results'!$D$2:$D$201,"A1")</f>
        <v/>
      </c>
      <c r="K93" s="8">
        <f>IF(H93=1,I93/J93,"")</f>
        <v/>
      </c>
      <c r="L93" s="18">
        <f>IF(H93=1,LN(K93),"")</f>
        <v/>
      </c>
      <c r="M93" s="19">
        <f>IF(H93=1,(I93-J93)/I93,"")</f>
        <v/>
      </c>
      <c r="N93" s="20">
        <f>IF(H93=1,(I93-SUMIFS('Arm results'!$X$2:$X$201,'Arm results'!$C$2:$C$201,$C93,'Arm results'!$D$2:$D$201,"B0"))/(J93-SUMIFS('Arm results'!$X$2:$X$201,'Arm results'!$C$2:$C$201,$C93,'Arm results'!$D$2:$D$201,"A1")),"")</f>
        <v/>
      </c>
      <c r="O93" s="21" t="n">
        <v>2.402023200003896</v>
      </c>
      <c r="P93" s="6" t="n">
        <v>1</v>
      </c>
      <c r="Q93" s="8">
        <f>IF(H93=1,(I93+O93)/(J93+O93),"")</f>
        <v/>
      </c>
      <c r="R93" s="18">
        <f>IF(H93=1,LN(Q93),"")</f>
        <v/>
      </c>
      <c r="S93" s="22">
        <f>SUMIFS('Arm results'!$AI$2:$AI$201,'Arm results'!$C$2:$C$201,$C93,'Arm results'!$D$2:$D$201,"B0")</f>
        <v/>
      </c>
      <c r="T93" s="22">
        <f>SUMIFS('Arm results'!$AI$2:$AI$201,'Arm results'!$C$2:$C$201,$C93,'Arm results'!$D$2:$D$201,"A1")</f>
        <v/>
      </c>
      <c r="U93" s="8">
        <f>IF(H93=1,T93/S93,"")</f>
        <v/>
      </c>
      <c r="V93" s="23">
        <f>SUMIFS('Arm results'!$AJ$2:$AJ$201,'Arm results'!$C$2:$C$201,$C93,'Arm results'!$D$2:$D$201,"B0")</f>
        <v/>
      </c>
      <c r="W93" s="23">
        <f>SUMIFS('Arm results'!$AJ$2:$AJ$201,'Arm results'!$C$2:$C$201,$C93,'Arm results'!$D$2:$D$201,"A1")</f>
        <v/>
      </c>
      <c r="X93" s="5">
        <f>IF(V93&lt;&gt;W93,1,0)</f>
        <v/>
      </c>
    </row>
    <row r="94">
      <c r="A94" s="5" t="n">
        <v>2</v>
      </c>
      <c r="B94" s="5" t="n">
        <v>43</v>
      </c>
      <c r="C94" s="5" t="inlineStr">
        <is>
          <t>med3_1</t>
        </is>
      </c>
      <c r="D94" s="5" t="inlineStr">
        <is>
          <t>med3</t>
        </is>
      </c>
      <c r="E94" s="5" t="inlineStr">
        <is>
          <t>B0</t>
        </is>
      </c>
      <c r="F94" s="5" t="inlineStr">
        <is>
          <t>SUCCEEDED</t>
        </is>
      </c>
      <c r="G94" s="5" t="inlineStr">
        <is>
          <t>SUCCEEDED</t>
        </is>
      </c>
      <c r="H94" s="5">
        <f>IF(AND(F94="SUCCEEDED",G94="SUCCEEDED"),1,0)</f>
        <v/>
      </c>
      <c r="I94" s="17">
        <f>SUMIFS('Arm results'!$O$2:$O$201,'Arm results'!$C$2:$C$201,$C94,'Arm results'!$D$2:$D$201,"B0")</f>
        <v/>
      </c>
      <c r="J94" s="17">
        <f>SUMIFS('Arm results'!$O$2:$O$201,'Arm results'!$C$2:$C$201,$C94,'Arm results'!$D$2:$D$201,"A1")</f>
        <v/>
      </c>
      <c r="K94" s="8">
        <f>IF(H94=1,I94/J94,"")</f>
        <v/>
      </c>
      <c r="L94" s="18">
        <f>IF(H94=1,LN(K94),"")</f>
        <v/>
      </c>
      <c r="M94" s="19">
        <f>IF(H94=1,(I94-J94)/I94,"")</f>
        <v/>
      </c>
      <c r="N94" s="20">
        <f>IF(H94=1,(I94-SUMIFS('Arm results'!$X$2:$X$201,'Arm results'!$C$2:$C$201,$C94,'Arm results'!$D$2:$D$201,"B0"))/(J94-SUMIFS('Arm results'!$X$2:$X$201,'Arm results'!$C$2:$C$201,$C94,'Arm results'!$D$2:$D$201,"A1")),"")</f>
        <v/>
      </c>
      <c r="O94" s="21" t="n">
        <v>2.275405799970031</v>
      </c>
      <c r="P94" s="6" t="n">
        <v>1</v>
      </c>
      <c r="Q94" s="8">
        <f>IF(H94=1,(I94+O94)/(J94+O94),"")</f>
        <v/>
      </c>
      <c r="R94" s="18">
        <f>IF(H94=1,LN(Q94),"")</f>
        <v/>
      </c>
      <c r="S94" s="22">
        <f>SUMIFS('Arm results'!$AI$2:$AI$201,'Arm results'!$C$2:$C$201,$C94,'Arm results'!$D$2:$D$201,"B0")</f>
        <v/>
      </c>
      <c r="T94" s="22">
        <f>SUMIFS('Arm results'!$AI$2:$AI$201,'Arm results'!$C$2:$C$201,$C94,'Arm results'!$D$2:$D$201,"A1")</f>
        <v/>
      </c>
      <c r="U94" s="8">
        <f>IF(H94=1,T94/S94,"")</f>
        <v/>
      </c>
      <c r="V94" s="23">
        <f>SUMIFS('Arm results'!$AJ$2:$AJ$201,'Arm results'!$C$2:$C$201,$C94,'Arm results'!$D$2:$D$201,"B0")</f>
        <v/>
      </c>
      <c r="W94" s="23">
        <f>SUMIFS('Arm results'!$AJ$2:$AJ$201,'Arm results'!$C$2:$C$201,$C94,'Arm results'!$D$2:$D$201,"A1")</f>
        <v/>
      </c>
      <c r="X94" s="5">
        <f>IF(V94&lt;&gt;W94,1,0)</f>
        <v/>
      </c>
    </row>
    <row r="95">
      <c r="A95" s="5" t="n">
        <v>2</v>
      </c>
      <c r="B95" s="5" t="n">
        <v>44</v>
      </c>
      <c r="C95" s="5" t="inlineStr">
        <is>
          <t>easy1_38</t>
        </is>
      </c>
      <c r="D95" s="5" t="inlineStr">
        <is>
          <t>easy1</t>
        </is>
      </c>
      <c r="E95" s="5" t="inlineStr">
        <is>
          <t>A1</t>
        </is>
      </c>
      <c r="F95" s="5" t="inlineStr">
        <is>
          <t>SUCCEEDED</t>
        </is>
      </c>
      <c r="G95" s="5" t="inlineStr">
        <is>
          <t>SUCCEEDED</t>
        </is>
      </c>
      <c r="H95" s="5">
        <f>IF(AND(F95="SUCCEEDED",G95="SUCCEEDED"),1,0)</f>
        <v/>
      </c>
      <c r="I95" s="17">
        <f>SUMIFS('Arm results'!$O$2:$O$201,'Arm results'!$C$2:$C$201,$C95,'Arm results'!$D$2:$D$201,"B0")</f>
        <v/>
      </c>
      <c r="J95" s="17">
        <f>SUMIFS('Arm results'!$O$2:$O$201,'Arm results'!$C$2:$C$201,$C95,'Arm results'!$D$2:$D$201,"A1")</f>
        <v/>
      </c>
      <c r="K95" s="8">
        <f>IF(H95=1,I95/J95,"")</f>
        <v/>
      </c>
      <c r="L95" s="18">
        <f>IF(H95=1,LN(K95),"")</f>
        <v/>
      </c>
      <c r="M95" s="19">
        <f>IF(H95=1,(I95-J95)/I95,"")</f>
        <v/>
      </c>
      <c r="N95" s="20">
        <f>IF(H95=1,(I95-SUMIFS('Arm results'!$X$2:$X$201,'Arm results'!$C$2:$C$201,$C95,'Arm results'!$D$2:$D$201,"B0"))/(J95-SUMIFS('Arm results'!$X$2:$X$201,'Arm results'!$C$2:$C$201,$C95,'Arm results'!$D$2:$D$201,"A1")),"")</f>
        <v/>
      </c>
      <c r="O95" s="21" t="n">
        <v>1.546631999954116</v>
      </c>
      <c r="P95" s="6" t="n">
        <v>1</v>
      </c>
      <c r="Q95" s="8">
        <f>IF(H95=1,(I95+O95)/(J95+O95),"")</f>
        <v/>
      </c>
      <c r="R95" s="18">
        <f>IF(H95=1,LN(Q95),"")</f>
        <v/>
      </c>
      <c r="S95" s="22">
        <f>SUMIFS('Arm results'!$AI$2:$AI$201,'Arm results'!$C$2:$C$201,$C95,'Arm results'!$D$2:$D$201,"B0")</f>
        <v/>
      </c>
      <c r="T95" s="22">
        <f>SUMIFS('Arm results'!$AI$2:$AI$201,'Arm results'!$C$2:$C$201,$C95,'Arm results'!$D$2:$D$201,"A1")</f>
        <v/>
      </c>
      <c r="U95" s="8">
        <f>IF(H95=1,T95/S95,"")</f>
        <v/>
      </c>
      <c r="V95" s="23">
        <f>SUMIFS('Arm results'!$AJ$2:$AJ$201,'Arm results'!$C$2:$C$201,$C95,'Arm results'!$D$2:$D$201,"B0")</f>
        <v/>
      </c>
      <c r="W95" s="23">
        <f>SUMIFS('Arm results'!$AJ$2:$AJ$201,'Arm results'!$C$2:$C$201,$C95,'Arm results'!$D$2:$D$201,"A1")</f>
        <v/>
      </c>
      <c r="X95" s="5">
        <f>IF(V95&lt;&gt;W95,1,0)</f>
        <v/>
      </c>
    </row>
    <row r="96">
      <c r="A96" s="5" t="n">
        <v>2</v>
      </c>
      <c r="B96" s="5" t="n">
        <v>45</v>
      </c>
      <c r="C96" s="5" t="inlineStr">
        <is>
          <t>easy1_46</t>
        </is>
      </c>
      <c r="D96" s="5" t="inlineStr">
        <is>
          <t>easy1</t>
        </is>
      </c>
      <c r="E96" s="5" t="inlineStr">
        <is>
          <t>B0</t>
        </is>
      </c>
      <c r="F96" s="5" t="inlineStr">
        <is>
          <t>SUCCEEDED</t>
        </is>
      </c>
      <c r="G96" s="5" t="inlineStr">
        <is>
          <t>SUCCEEDED</t>
        </is>
      </c>
      <c r="H96" s="5">
        <f>IF(AND(F96="SUCCEEDED",G96="SUCCEEDED"),1,0)</f>
        <v/>
      </c>
      <c r="I96" s="17">
        <f>SUMIFS('Arm results'!$O$2:$O$201,'Arm results'!$C$2:$C$201,$C96,'Arm results'!$D$2:$D$201,"B0")</f>
        <v/>
      </c>
      <c r="J96" s="17">
        <f>SUMIFS('Arm results'!$O$2:$O$201,'Arm results'!$C$2:$C$201,$C96,'Arm results'!$D$2:$D$201,"A1")</f>
        <v/>
      </c>
      <c r="K96" s="8">
        <f>IF(H96=1,I96/J96,"")</f>
        <v/>
      </c>
      <c r="L96" s="18">
        <f>IF(H96=1,LN(K96),"")</f>
        <v/>
      </c>
      <c r="M96" s="19">
        <f>IF(H96=1,(I96-J96)/I96,"")</f>
        <v/>
      </c>
      <c r="N96" s="20">
        <f>IF(H96=1,(I96-SUMIFS('Arm results'!$X$2:$X$201,'Arm results'!$C$2:$C$201,$C96,'Arm results'!$D$2:$D$201,"B0"))/(J96-SUMIFS('Arm results'!$X$2:$X$201,'Arm results'!$C$2:$C$201,$C96,'Arm results'!$D$2:$D$201,"A1")),"")</f>
        <v/>
      </c>
      <c r="O96" s="21" t="n">
        <v>2.050730500021018</v>
      </c>
      <c r="P96" s="6" t="n">
        <v>1</v>
      </c>
      <c r="Q96" s="8">
        <f>IF(H96=1,(I96+O96)/(J96+O96),"")</f>
        <v/>
      </c>
      <c r="R96" s="18">
        <f>IF(H96=1,LN(Q96),"")</f>
        <v/>
      </c>
      <c r="S96" s="22">
        <f>SUMIFS('Arm results'!$AI$2:$AI$201,'Arm results'!$C$2:$C$201,$C96,'Arm results'!$D$2:$D$201,"B0")</f>
        <v/>
      </c>
      <c r="T96" s="22">
        <f>SUMIFS('Arm results'!$AI$2:$AI$201,'Arm results'!$C$2:$C$201,$C96,'Arm results'!$D$2:$D$201,"A1")</f>
        <v/>
      </c>
      <c r="U96" s="8">
        <f>IF(H96=1,T96/S96,"")</f>
        <v/>
      </c>
      <c r="V96" s="23">
        <f>SUMIFS('Arm results'!$AJ$2:$AJ$201,'Arm results'!$C$2:$C$201,$C96,'Arm results'!$D$2:$D$201,"B0")</f>
        <v/>
      </c>
      <c r="W96" s="23">
        <f>SUMIFS('Arm results'!$AJ$2:$AJ$201,'Arm results'!$C$2:$C$201,$C96,'Arm results'!$D$2:$D$201,"A1")</f>
        <v/>
      </c>
      <c r="X96" s="5">
        <f>IF(V96&lt;&gt;W96,1,0)</f>
        <v/>
      </c>
    </row>
    <row r="97">
      <c r="A97" s="5" t="n">
        <v>2</v>
      </c>
      <c r="B97" s="5" t="n">
        <v>46</v>
      </c>
      <c r="C97" s="5" t="inlineStr">
        <is>
          <t>med3_19</t>
        </is>
      </c>
      <c r="D97" s="5" t="inlineStr">
        <is>
          <t>med3</t>
        </is>
      </c>
      <c r="E97" s="5" t="inlineStr">
        <is>
          <t>A1</t>
        </is>
      </c>
      <c r="F97" s="5" t="inlineStr">
        <is>
          <t>SUCCEEDED</t>
        </is>
      </c>
      <c r="G97" s="5" t="inlineStr">
        <is>
          <t>SUCCEEDED</t>
        </is>
      </c>
      <c r="H97" s="5">
        <f>IF(AND(F97="SUCCEEDED",G97="SUCCEEDED"),1,0)</f>
        <v/>
      </c>
      <c r="I97" s="17">
        <f>SUMIFS('Arm results'!$O$2:$O$201,'Arm results'!$C$2:$C$201,$C97,'Arm results'!$D$2:$D$201,"B0")</f>
        <v/>
      </c>
      <c r="J97" s="17">
        <f>SUMIFS('Arm results'!$O$2:$O$201,'Arm results'!$C$2:$C$201,$C97,'Arm results'!$D$2:$D$201,"A1")</f>
        <v/>
      </c>
      <c r="K97" s="8">
        <f>IF(H97=1,I97/J97,"")</f>
        <v/>
      </c>
      <c r="L97" s="18">
        <f>IF(H97=1,LN(K97),"")</f>
        <v/>
      </c>
      <c r="M97" s="19">
        <f>IF(H97=1,(I97-J97)/I97,"")</f>
        <v/>
      </c>
      <c r="N97" s="20">
        <f>IF(H97=1,(I97-SUMIFS('Arm results'!$X$2:$X$201,'Arm results'!$C$2:$C$201,$C97,'Arm results'!$D$2:$D$201,"B0"))/(J97-SUMIFS('Arm results'!$X$2:$X$201,'Arm results'!$C$2:$C$201,$C97,'Arm results'!$D$2:$D$201,"A1")),"")</f>
        <v/>
      </c>
      <c r="O97" s="21" t="n">
        <v>2.349648600036744</v>
      </c>
      <c r="P97" s="6" t="n">
        <v>1</v>
      </c>
      <c r="Q97" s="8">
        <f>IF(H97=1,(I97+O97)/(J97+O97),"")</f>
        <v/>
      </c>
      <c r="R97" s="18">
        <f>IF(H97=1,LN(Q97),"")</f>
        <v/>
      </c>
      <c r="S97" s="22">
        <f>SUMIFS('Arm results'!$AI$2:$AI$201,'Arm results'!$C$2:$C$201,$C97,'Arm results'!$D$2:$D$201,"B0")</f>
        <v/>
      </c>
      <c r="T97" s="22">
        <f>SUMIFS('Arm results'!$AI$2:$AI$201,'Arm results'!$C$2:$C$201,$C97,'Arm results'!$D$2:$D$201,"A1")</f>
        <v/>
      </c>
      <c r="U97" s="8">
        <f>IF(H97=1,T97/S97,"")</f>
        <v/>
      </c>
      <c r="V97" s="23">
        <f>SUMIFS('Arm results'!$AJ$2:$AJ$201,'Arm results'!$C$2:$C$201,$C97,'Arm results'!$D$2:$D$201,"B0")</f>
        <v/>
      </c>
      <c r="W97" s="23">
        <f>SUMIFS('Arm results'!$AJ$2:$AJ$201,'Arm results'!$C$2:$C$201,$C97,'Arm results'!$D$2:$D$201,"A1")</f>
        <v/>
      </c>
      <c r="X97" s="5">
        <f>IF(V97&lt;&gt;W97,1,0)</f>
        <v/>
      </c>
    </row>
    <row r="98">
      <c r="A98" s="5" t="n">
        <v>2</v>
      </c>
      <c r="B98" s="5" t="n">
        <v>47</v>
      </c>
      <c r="C98" s="5" t="inlineStr">
        <is>
          <t>hard1_36</t>
        </is>
      </c>
      <c r="D98" s="5" t="inlineStr">
        <is>
          <t>hard1</t>
        </is>
      </c>
      <c r="E98" s="5" t="inlineStr">
        <is>
          <t>B0</t>
        </is>
      </c>
      <c r="F98" s="5" t="inlineStr">
        <is>
          <t>SUCCEEDED</t>
        </is>
      </c>
      <c r="G98" s="5" t="inlineStr">
        <is>
          <t>SUCCEEDED</t>
        </is>
      </c>
      <c r="H98" s="5">
        <f>IF(AND(F98="SUCCEEDED",G98="SUCCEEDED"),1,0)</f>
        <v/>
      </c>
      <c r="I98" s="17">
        <f>SUMIFS('Arm results'!$O$2:$O$201,'Arm results'!$C$2:$C$201,$C98,'Arm results'!$D$2:$D$201,"B0")</f>
        <v/>
      </c>
      <c r="J98" s="17">
        <f>SUMIFS('Arm results'!$O$2:$O$201,'Arm results'!$C$2:$C$201,$C98,'Arm results'!$D$2:$D$201,"A1")</f>
        <v/>
      </c>
      <c r="K98" s="8">
        <f>IF(H98=1,I98/J98,"")</f>
        <v/>
      </c>
      <c r="L98" s="18">
        <f>IF(H98=1,LN(K98),"")</f>
        <v/>
      </c>
      <c r="M98" s="19">
        <f>IF(H98=1,(I98-J98)/I98,"")</f>
        <v/>
      </c>
      <c r="N98" s="20">
        <f>IF(H98=1,(I98-SUMIFS('Arm results'!$X$2:$X$201,'Arm results'!$C$2:$C$201,$C98,'Arm results'!$D$2:$D$201,"B0"))/(J98-SUMIFS('Arm results'!$X$2:$X$201,'Arm results'!$C$2:$C$201,$C98,'Arm results'!$D$2:$D$201,"A1")),"")</f>
        <v/>
      </c>
      <c r="O98" s="21" t="n">
        <v>5.062625300022773</v>
      </c>
      <c r="P98" s="6" t="n">
        <v>1</v>
      </c>
      <c r="Q98" s="8">
        <f>IF(H98=1,(I98+O98)/(J98+O98),"")</f>
        <v/>
      </c>
      <c r="R98" s="18">
        <f>IF(H98=1,LN(Q98),"")</f>
        <v/>
      </c>
      <c r="S98" s="22">
        <f>SUMIFS('Arm results'!$AI$2:$AI$201,'Arm results'!$C$2:$C$201,$C98,'Arm results'!$D$2:$D$201,"B0")</f>
        <v/>
      </c>
      <c r="T98" s="22">
        <f>SUMIFS('Arm results'!$AI$2:$AI$201,'Arm results'!$C$2:$C$201,$C98,'Arm results'!$D$2:$D$201,"A1")</f>
        <v/>
      </c>
      <c r="U98" s="8">
        <f>IF(H98=1,T98/S98,"")</f>
        <v/>
      </c>
      <c r="V98" s="23">
        <f>SUMIFS('Arm results'!$AJ$2:$AJ$201,'Arm results'!$C$2:$C$201,$C98,'Arm results'!$D$2:$D$201,"B0")</f>
        <v/>
      </c>
      <c r="W98" s="23">
        <f>SUMIFS('Arm results'!$AJ$2:$AJ$201,'Arm results'!$C$2:$C$201,$C98,'Arm results'!$D$2:$D$201,"A1")</f>
        <v/>
      </c>
      <c r="X98" s="5">
        <f>IF(V98&lt;&gt;W98,1,0)</f>
        <v/>
      </c>
    </row>
    <row r="99">
      <c r="A99" s="5" t="n">
        <v>2</v>
      </c>
      <c r="B99" s="5" t="n">
        <v>48</v>
      </c>
      <c r="C99" s="5" t="inlineStr">
        <is>
          <t>protein_1CAD_query_6_mask_4</t>
        </is>
      </c>
      <c r="D99" s="5" t="inlineStr">
        <is>
          <t>hard4</t>
        </is>
      </c>
      <c r="E99" s="5" t="inlineStr">
        <is>
          <t>A1</t>
        </is>
      </c>
      <c r="F99" s="5" t="inlineStr">
        <is>
          <t>SUCCEEDED</t>
        </is>
      </c>
      <c r="G99" s="5" t="inlineStr">
        <is>
          <t>SUCCEEDED</t>
        </is>
      </c>
      <c r="H99" s="5">
        <f>IF(AND(F99="SUCCEEDED",G99="SUCCEEDED"),1,0)</f>
        <v/>
      </c>
      <c r="I99" s="17">
        <f>SUMIFS('Arm results'!$O$2:$O$201,'Arm results'!$C$2:$C$201,$C99,'Arm results'!$D$2:$D$201,"B0")</f>
        <v/>
      </c>
      <c r="J99" s="17">
        <f>SUMIFS('Arm results'!$O$2:$O$201,'Arm results'!$C$2:$C$201,$C99,'Arm results'!$D$2:$D$201,"A1")</f>
        <v/>
      </c>
      <c r="K99" s="8">
        <f>IF(H99=1,I99/J99,"")</f>
        <v/>
      </c>
      <c r="L99" s="18">
        <f>IF(H99=1,LN(K99),"")</f>
        <v/>
      </c>
      <c r="M99" s="19">
        <f>IF(H99=1,(I99-J99)/I99,"")</f>
        <v/>
      </c>
      <c r="N99" s="20">
        <f>IF(H99=1,(I99-SUMIFS('Arm results'!$X$2:$X$201,'Arm results'!$C$2:$C$201,$C99,'Arm results'!$D$2:$D$201,"B0"))/(J99-SUMIFS('Arm results'!$X$2:$X$201,'Arm results'!$C$2:$C$201,$C99,'Arm results'!$D$2:$D$201,"A1")),"")</f>
        <v/>
      </c>
      <c r="O99" s="21" t="n">
        <v>2.550337399996351</v>
      </c>
      <c r="P99" s="6" t="n">
        <v>0</v>
      </c>
      <c r="Q99" s="8">
        <f>IF(H99=1,(I99+O99)/(J99+O99),"")</f>
        <v/>
      </c>
      <c r="R99" s="18">
        <f>IF(H99=1,LN(Q99),"")</f>
        <v/>
      </c>
      <c r="S99" s="22">
        <f>SUMIFS('Arm results'!$AI$2:$AI$201,'Arm results'!$C$2:$C$201,$C99,'Arm results'!$D$2:$D$201,"B0")</f>
        <v/>
      </c>
      <c r="T99" s="22">
        <f>SUMIFS('Arm results'!$AI$2:$AI$201,'Arm results'!$C$2:$C$201,$C99,'Arm results'!$D$2:$D$201,"A1")</f>
        <v/>
      </c>
      <c r="U99" s="8">
        <f>IF(H99=1,T99/S99,"")</f>
        <v/>
      </c>
      <c r="V99" s="23">
        <f>SUMIFS('Arm results'!$AJ$2:$AJ$201,'Arm results'!$C$2:$C$201,$C99,'Arm results'!$D$2:$D$201,"B0")</f>
        <v/>
      </c>
      <c r="W99" s="23">
        <f>SUMIFS('Arm results'!$AJ$2:$AJ$201,'Arm results'!$C$2:$C$201,$C99,'Arm results'!$D$2:$D$201,"A1")</f>
        <v/>
      </c>
      <c r="X99" s="5">
        <f>IF(V99&lt;&gt;W99,1,0)</f>
        <v/>
      </c>
    </row>
    <row r="100">
      <c r="A100" s="5" t="n">
        <v>2</v>
      </c>
      <c r="B100" s="5" t="n">
        <v>49</v>
      </c>
      <c r="C100" s="5" t="inlineStr">
        <is>
          <t>med2_1</t>
        </is>
      </c>
      <c r="D100" s="5" t="inlineStr">
        <is>
          <t>med2</t>
        </is>
      </c>
      <c r="E100" s="5" t="inlineStr">
        <is>
          <t>B0</t>
        </is>
      </c>
      <c r="F100" s="5" t="inlineStr">
        <is>
          <t>SUCCEEDED</t>
        </is>
      </c>
      <c r="G100" s="5" t="inlineStr">
        <is>
          <t>SUCCEEDED</t>
        </is>
      </c>
      <c r="H100" s="5">
        <f>IF(AND(F100="SUCCEEDED",G100="SUCCEEDED"),1,0)</f>
        <v/>
      </c>
      <c r="I100" s="17">
        <f>SUMIFS('Arm results'!$O$2:$O$201,'Arm results'!$C$2:$C$201,$C100,'Arm results'!$D$2:$D$201,"B0")</f>
        <v/>
      </c>
      <c r="J100" s="17">
        <f>SUMIFS('Arm results'!$O$2:$O$201,'Arm results'!$C$2:$C$201,$C100,'Arm results'!$D$2:$D$201,"A1")</f>
        <v/>
      </c>
      <c r="K100" s="8">
        <f>IF(H100=1,I100/J100,"")</f>
        <v/>
      </c>
      <c r="L100" s="18">
        <f>IF(H100=1,LN(K100),"")</f>
        <v/>
      </c>
      <c r="M100" s="19">
        <f>IF(H100=1,(I100-J100)/I100,"")</f>
        <v/>
      </c>
      <c r="N100" s="20">
        <f>IF(H100=1,(I100-SUMIFS('Arm results'!$X$2:$X$201,'Arm results'!$C$2:$C$201,$C100,'Arm results'!$D$2:$D$201,"B0"))/(J100-SUMIFS('Arm results'!$X$2:$X$201,'Arm results'!$C$2:$C$201,$C100,'Arm results'!$D$2:$D$201,"A1")),"")</f>
        <v/>
      </c>
      <c r="O100" s="21" t="n">
        <v>3.03465290000895</v>
      </c>
      <c r="P100" s="6" t="n">
        <v>1</v>
      </c>
      <c r="Q100" s="8">
        <f>IF(H100=1,(I100+O100)/(J100+O100),"")</f>
        <v/>
      </c>
      <c r="R100" s="18">
        <f>IF(H100=1,LN(Q100),"")</f>
        <v/>
      </c>
      <c r="S100" s="22">
        <f>SUMIFS('Arm results'!$AI$2:$AI$201,'Arm results'!$C$2:$C$201,$C100,'Arm results'!$D$2:$D$201,"B0")</f>
        <v/>
      </c>
      <c r="T100" s="22">
        <f>SUMIFS('Arm results'!$AI$2:$AI$201,'Arm results'!$C$2:$C$201,$C100,'Arm results'!$D$2:$D$201,"A1")</f>
        <v/>
      </c>
      <c r="U100" s="8">
        <f>IF(H100=1,T100/S100,"")</f>
        <v/>
      </c>
      <c r="V100" s="23">
        <f>SUMIFS('Arm results'!$AJ$2:$AJ$201,'Arm results'!$C$2:$C$201,$C100,'Arm results'!$D$2:$D$201,"B0")</f>
        <v/>
      </c>
      <c r="W100" s="23">
        <f>SUMIFS('Arm results'!$AJ$2:$AJ$201,'Arm results'!$C$2:$C$201,$C100,'Arm results'!$D$2:$D$201,"A1")</f>
        <v/>
      </c>
      <c r="X100" s="5">
        <f>IF(V100&lt;&gt;W100,1,0)</f>
        <v/>
      </c>
    </row>
    <row r="101">
      <c r="A101" s="5" t="n">
        <v>2</v>
      </c>
      <c r="B101" s="5" t="n">
        <v>50</v>
      </c>
      <c r="C101" s="5" t="inlineStr">
        <is>
          <t>med1_15</t>
        </is>
      </c>
      <c r="D101" s="5" t="inlineStr">
        <is>
          <t>med1</t>
        </is>
      </c>
      <c r="E101" s="5" t="inlineStr">
        <is>
          <t>A1</t>
        </is>
      </c>
      <c r="F101" s="5" t="inlineStr">
        <is>
          <t>SUCCEEDED</t>
        </is>
      </c>
      <c r="G101" s="5" t="inlineStr">
        <is>
          <t>SUCCEEDED</t>
        </is>
      </c>
      <c r="H101" s="5">
        <f>IF(AND(F101="SUCCEEDED",G101="SUCCEEDED"),1,0)</f>
        <v/>
      </c>
      <c r="I101" s="17">
        <f>SUMIFS('Arm results'!$O$2:$O$201,'Arm results'!$C$2:$C$201,$C101,'Arm results'!$D$2:$D$201,"B0")</f>
        <v/>
      </c>
      <c r="J101" s="17">
        <f>SUMIFS('Arm results'!$O$2:$O$201,'Arm results'!$C$2:$C$201,$C101,'Arm results'!$D$2:$D$201,"A1")</f>
        <v/>
      </c>
      <c r="K101" s="8">
        <f>IF(H101=1,I101/J101,"")</f>
        <v/>
      </c>
      <c r="L101" s="18">
        <f>IF(H101=1,LN(K101),"")</f>
        <v/>
      </c>
      <c r="M101" s="19">
        <f>IF(H101=1,(I101-J101)/I101,"")</f>
        <v/>
      </c>
      <c r="N101" s="20">
        <f>IF(H101=1,(I101-SUMIFS('Arm results'!$X$2:$X$201,'Arm results'!$C$2:$C$201,$C101,'Arm results'!$D$2:$D$201,"B0"))/(J101-SUMIFS('Arm results'!$X$2:$X$201,'Arm results'!$C$2:$C$201,$C101,'Arm results'!$D$2:$D$201,"A1")),"")</f>
        <v/>
      </c>
      <c r="O101" s="21" t="n">
        <v>2.658503100043163</v>
      </c>
      <c r="P101" s="6" t="n">
        <v>1</v>
      </c>
      <c r="Q101" s="8">
        <f>IF(H101=1,(I101+O101)/(J101+O101),"")</f>
        <v/>
      </c>
      <c r="R101" s="18">
        <f>IF(H101=1,LN(Q101),"")</f>
        <v/>
      </c>
      <c r="S101" s="22">
        <f>SUMIFS('Arm results'!$AI$2:$AI$201,'Arm results'!$C$2:$C$201,$C101,'Arm results'!$D$2:$D$201,"B0")</f>
        <v/>
      </c>
      <c r="T101" s="22">
        <f>SUMIFS('Arm results'!$AI$2:$AI$201,'Arm results'!$C$2:$C$201,$C101,'Arm results'!$D$2:$D$201,"A1")</f>
        <v/>
      </c>
      <c r="U101" s="8">
        <f>IF(H101=1,T101/S101,"")</f>
        <v/>
      </c>
      <c r="V101" s="23">
        <f>SUMIFS('Arm results'!$AJ$2:$AJ$201,'Arm results'!$C$2:$C$201,$C101,'Arm results'!$D$2:$D$201,"B0")</f>
        <v/>
      </c>
      <c r="W101" s="23">
        <f>SUMIFS('Arm results'!$AJ$2:$AJ$201,'Arm results'!$C$2:$C$201,$C101,'Arm results'!$D$2:$D$201,"A1")</f>
        <v/>
      </c>
      <c r="X101" s="5">
        <f>IF(V101&lt;&gt;W101,1,0)</f>
        <v/>
      </c>
    </row>
    <row r="102">
      <c r="C102" s="13" t="inlineStr">
        <is>
          <t>Totals</t>
        </is>
      </c>
      <c r="H102" s="13">
        <f>SUM(H2:H101)</f>
        <v/>
      </c>
      <c r="P102" s="13">
        <f>SUM(P2:P101)</f>
        <v/>
      </c>
      <c r="S102" s="16">
        <f>SUM(S2:S101)</f>
        <v/>
      </c>
      <c r="T102" s="16">
        <f>SUM(T2:T101)</f>
        <v/>
      </c>
      <c r="V102" s="13">
        <f>SUM(V2:V101)</f>
        <v/>
      </c>
      <c r="W102" s="13">
        <f>SUM(W2:W101)</f>
        <v/>
      </c>
      <c r="X102" s="13">
        <f>SUM(X2:X101)</f>
        <v/>
      </c>
    </row>
    <row r="104">
      <c r="C104" s="5" t="inlineStr">
        <is>
          <t>Values are formulas over 'Arm results' except Status, T_dec and DAG exact (blue: statuses from the run records, T_dec and exact-DAG flag from decompose/dec-1/rows.jsonl). Speedup columns are blank unless both arms succeeded (prereg §8).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10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1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</cols>
  <sheetData>
    <row r="1" ht="45" customHeight="1">
      <c r="A1" s="4" t="inlineStr">
        <is>
          <t>Template</t>
        </is>
      </c>
      <c r="B1" s="4" t="inlineStr">
        <is>
          <t>Tasks</t>
        </is>
      </c>
      <c r="C1" s="4" t="inlineStr">
        <is>
          <t>Both arms succeeded</t>
        </is>
      </c>
      <c r="D1" s="4" t="inlineStr">
        <is>
          <t>Completed B0</t>
        </is>
      </c>
      <c r="E1" s="4" t="inlineStr">
        <is>
          <t>Completed A1</t>
        </is>
      </c>
      <c r="F1" s="4" t="inlineStr">
        <is>
          <t>N</t>
        </is>
      </c>
      <c r="G1" s="4" t="inlineStr">
        <is>
          <t>D</t>
        </is>
      </c>
      <c r="H1" s="4" t="inlineStr">
        <is>
          <t>W</t>
        </is>
      </c>
      <c r="I1" s="4" t="inlineStr">
        <is>
          <t>N/D</t>
        </is>
      </c>
      <c r="J1" s="4" t="inlineStr">
        <is>
          <t>Mean ln speedup</t>
        </is>
      </c>
      <c r="K1" s="4" t="inlineStr">
        <is>
          <t>S (geo-mean speedup)</t>
        </is>
      </c>
      <c r="L1" s="4" t="inlineStr">
        <is>
          <t>S (script)</t>
        </is>
      </c>
      <c r="M1" s="4" t="inlineStr">
        <is>
          <t>Replay B0 (script)</t>
        </is>
      </c>
      <c r="N1" s="4" t="inlineStr">
        <is>
          <t>Replay A1 (script)</t>
        </is>
      </c>
      <c r="O1" s="4" t="inlineStr">
        <is>
          <t>Mean ln incl. T_dec</t>
        </is>
      </c>
      <c r="P1" s="4" t="inlineStr">
        <is>
          <t>S incl. T_dec</t>
        </is>
      </c>
      <c r="Q1" s="4" t="inlineStr">
        <is>
          <t>C_Total A1/B0 (script)</t>
        </is>
      </c>
      <c r="R1" s="4" t="inlineStr">
        <is>
          <t>Mean T_exec B0 (s)</t>
        </is>
      </c>
      <c r="S1" s="4" t="inlineStr">
        <is>
          <t>Mean T_exec A1 (s)</t>
        </is>
      </c>
      <c r="T1" s="4" t="inlineStr">
        <is>
          <t>Correct B0</t>
        </is>
      </c>
      <c r="U1" s="4" t="inlineStr">
        <is>
          <t>Correct A1</t>
        </is>
      </c>
      <c r="V1" s="4" t="inlineStr">
        <is>
          <t>Accuracy B0</t>
        </is>
      </c>
      <c r="W1" s="4" t="inlineStr">
        <is>
          <t>Accuracy A1</t>
        </is>
      </c>
      <c r="X1" s="4" t="inlineStr">
        <is>
          <t>Exposed tasks</t>
        </is>
      </c>
      <c r="Y1" s="4" t="inlineStr">
        <is>
          <t>Flagged tasks</t>
        </is>
      </c>
    </row>
    <row r="2">
      <c r="A2" s="5" t="inlineStr">
        <is>
          <t>easy1</t>
        </is>
      </c>
      <c r="B2" s="23">
        <f>COUNTIF(Paired!$D$2:$D$101,$A2)</f>
        <v/>
      </c>
      <c r="C2" s="23">
        <f>SUMIFS(Paired!$H$2:$H$101,Paired!$D$2:$D$101,$A2)</f>
        <v/>
      </c>
      <c r="D2" s="23">
        <f>COUNTIFS('Arm results'!$F$2:$F$201,$A2,'Arm results'!$D$2:$D$201,"B0",'Arm results'!$N$2:$N$201,"SUCCEEDED")</f>
        <v/>
      </c>
      <c r="E2" s="23">
        <f>COUNTIFS('Arm results'!$F$2:$F$201,$A2,'Arm results'!$D$2:$D$201,"A1",'Arm results'!$N$2:$N$201,"SUCCEEDED")</f>
        <v/>
      </c>
      <c r="F2" s="6" t="n">
        <v>5</v>
      </c>
      <c r="G2" s="6" t="n">
        <v>4</v>
      </c>
      <c r="H2" s="6" t="n">
        <v>2</v>
      </c>
      <c r="I2" s="24">
        <f>F2/G2</f>
        <v/>
      </c>
      <c r="J2" s="25">
        <f>AVERAGEIFS(Paired!$L$2:$L$101,Paired!$D$2:$D$101,$A2,Paired!$H$2:$H$101,1)</f>
        <v/>
      </c>
      <c r="K2" s="8">
        <f>EXP(J2)</f>
        <v/>
      </c>
      <c r="L2" s="26" t="n">
        <v>1.28938285845942</v>
      </c>
      <c r="M2" s="26" t="n">
        <v>1.375029973752899</v>
      </c>
      <c r="N2" s="26" t="n">
        <v>1.338129770264702</v>
      </c>
      <c r="O2" s="25">
        <f>AVERAGEIFS(Paired!$R$2:$R$101,Paired!$D$2:$D$101,$A2,Paired!$H$2:$H$101,1)</f>
        <v/>
      </c>
      <c r="P2" s="8">
        <f>EXP(O2)</f>
        <v/>
      </c>
      <c r="Q2" s="26" t="n">
        <v>1.045307033762731</v>
      </c>
      <c r="R2" s="17">
        <f>AVERAGEIFS('Arm results'!$O$2:$O$201,'Arm results'!$F$2:$F$201,$A2,'Arm results'!$D$2:$D$201,"B0",'Arm results'!$N$2:$N$201,"SUCCEEDED")</f>
        <v/>
      </c>
      <c r="S2" s="17">
        <f>AVERAGEIFS('Arm results'!$O$2:$O$201,'Arm results'!$F$2:$F$201,$A2,'Arm results'!$D$2:$D$201,"A1",'Arm results'!$N$2:$N$201,"SUCCEEDED")</f>
        <v/>
      </c>
      <c r="T2" s="23">
        <f>SUMIFS('Arm results'!$AJ$2:$AJ$201,'Arm results'!$F$2:$F$201,$A2,'Arm results'!$D$2:$D$201,"B0")</f>
        <v/>
      </c>
      <c r="U2" s="23">
        <f>SUMIFS('Arm results'!$AJ$2:$AJ$201,'Arm results'!$F$2:$F$201,$A2,'Arm results'!$D$2:$D$201,"A1")</f>
        <v/>
      </c>
      <c r="V2" s="27">
        <f>T2/B2</f>
        <v/>
      </c>
      <c r="W2" s="27">
        <f>U2/B2</f>
        <v/>
      </c>
      <c r="X2" s="23">
        <f>SUMIFS('Arm results'!$H$2:$H$201,'Arm results'!$F$2:$F$201,$A2,'Arm results'!$D$2:$D$201,"B0")</f>
        <v/>
      </c>
      <c r="Y2" s="23">
        <f>SUMIFS('Arm results'!$I$2:$I$201,'Arm results'!$F$2:$F$201,$A2,'Arm results'!$D$2:$D$201,"B0")</f>
        <v/>
      </c>
    </row>
    <row r="3">
      <c r="A3" s="5" t="inlineStr">
        <is>
          <t>easy2</t>
        </is>
      </c>
      <c r="B3" s="23">
        <f>COUNTIF(Paired!$D$2:$D$101,$A3)</f>
        <v/>
      </c>
      <c r="C3" s="23">
        <f>SUMIFS(Paired!$H$2:$H$101,Paired!$D$2:$D$101,$A3)</f>
        <v/>
      </c>
      <c r="D3" s="23">
        <f>COUNTIFS('Arm results'!$F$2:$F$201,$A3,'Arm results'!$D$2:$D$201,"B0",'Arm results'!$N$2:$N$201,"SUCCEEDED")</f>
        <v/>
      </c>
      <c r="E3" s="23">
        <f>COUNTIFS('Arm results'!$F$2:$F$201,$A3,'Arm results'!$D$2:$D$201,"A1",'Arm results'!$N$2:$N$201,"SUCCEEDED")</f>
        <v/>
      </c>
      <c r="F3" s="6" t="n">
        <v>5</v>
      </c>
      <c r="G3" s="6" t="n">
        <v>4</v>
      </c>
      <c r="H3" s="6" t="n">
        <v>2</v>
      </c>
      <c r="I3" s="24">
        <f>F3/G3</f>
        <v/>
      </c>
      <c r="J3" s="25">
        <f>AVERAGEIFS(Paired!$L$2:$L$101,Paired!$D$2:$D$101,$A3,Paired!$H$2:$H$101,1)</f>
        <v/>
      </c>
      <c r="K3" s="8">
        <f>EXP(J3)</f>
        <v/>
      </c>
      <c r="L3" s="26" t="n">
        <v>1.041542144526691</v>
      </c>
      <c r="M3" s="26" t="n">
        <v>1.074616255627289</v>
      </c>
      <c r="N3" s="26" t="n">
        <v>1.067514862671758</v>
      </c>
      <c r="O3" s="25">
        <f>AVERAGEIFS(Paired!$R$2:$R$101,Paired!$D$2:$D$101,$A3,Paired!$H$2:$H$101,1)</f>
        <v/>
      </c>
      <c r="P3" s="8">
        <f>EXP(O3)</f>
        <v/>
      </c>
      <c r="Q3" s="26" t="n">
        <v>1.04055188407619</v>
      </c>
      <c r="R3" s="17">
        <f>AVERAGEIFS('Arm results'!$O$2:$O$201,'Arm results'!$F$2:$F$201,$A3,'Arm results'!$D$2:$D$201,"B0",'Arm results'!$N$2:$N$201,"SUCCEEDED")</f>
        <v/>
      </c>
      <c r="S3" s="17">
        <f>AVERAGEIFS('Arm results'!$O$2:$O$201,'Arm results'!$F$2:$F$201,$A3,'Arm results'!$D$2:$D$201,"A1",'Arm results'!$N$2:$N$201,"SUCCEEDED")</f>
        <v/>
      </c>
      <c r="T3" s="23">
        <f>SUMIFS('Arm results'!$AJ$2:$AJ$201,'Arm results'!$F$2:$F$201,$A3,'Arm results'!$D$2:$D$201,"B0")</f>
        <v/>
      </c>
      <c r="U3" s="23">
        <f>SUMIFS('Arm results'!$AJ$2:$AJ$201,'Arm results'!$F$2:$F$201,$A3,'Arm results'!$D$2:$D$201,"A1")</f>
        <v/>
      </c>
      <c r="V3" s="27">
        <f>T3/B3</f>
        <v/>
      </c>
      <c r="W3" s="27">
        <f>U3/B3</f>
        <v/>
      </c>
      <c r="X3" s="23">
        <f>SUMIFS('Arm results'!$H$2:$H$201,'Arm results'!$F$2:$F$201,$A3,'Arm results'!$D$2:$D$201,"B0")</f>
        <v/>
      </c>
      <c r="Y3" s="23">
        <f>SUMIFS('Arm results'!$I$2:$I$201,'Arm results'!$F$2:$F$201,$A3,'Arm results'!$D$2:$D$201,"B0")</f>
        <v/>
      </c>
    </row>
    <row r="4">
      <c r="A4" s="5" t="inlineStr">
        <is>
          <t>hard1</t>
        </is>
      </c>
      <c r="B4" s="23">
        <f>COUNTIF(Paired!$D$2:$D$101,$A4)</f>
        <v/>
      </c>
      <c r="C4" s="23">
        <f>SUMIFS(Paired!$H$2:$H$101,Paired!$D$2:$D$101,$A4)</f>
        <v/>
      </c>
      <c r="D4" s="23">
        <f>COUNTIFS('Arm results'!$F$2:$F$201,$A4,'Arm results'!$D$2:$D$201,"B0",'Arm results'!$N$2:$N$201,"SUCCEEDED")</f>
        <v/>
      </c>
      <c r="E4" s="23">
        <f>COUNTIFS('Arm results'!$F$2:$F$201,$A4,'Arm results'!$D$2:$D$201,"A1",'Arm results'!$N$2:$N$201,"SUCCEEDED")</f>
        <v/>
      </c>
      <c r="F4" s="6" t="n">
        <v>16</v>
      </c>
      <c r="G4" s="6" t="n">
        <v>9</v>
      </c>
      <c r="H4" s="6" t="n">
        <v>5</v>
      </c>
      <c r="I4" s="24">
        <f>F4/G4</f>
        <v/>
      </c>
      <c r="J4" s="25">
        <f>AVERAGEIFS(Paired!$L$2:$L$101,Paired!$D$2:$D$101,$A4,Paired!$H$2:$H$101,1)</f>
        <v/>
      </c>
      <c r="K4" s="8">
        <f>EXP(J4)</f>
        <v/>
      </c>
      <c r="L4" s="26" t="n">
        <v>1.342080844591812</v>
      </c>
      <c r="M4" s="26" t="n">
        <v>1.263030728002859</v>
      </c>
      <c r="N4" s="26" t="n">
        <v>1.266259153780395</v>
      </c>
      <c r="O4" s="25">
        <f>AVERAGEIFS(Paired!$R$2:$R$101,Paired!$D$2:$D$101,$A4,Paired!$H$2:$H$101,1)</f>
        <v/>
      </c>
      <c r="P4" s="8">
        <f>EXP(O4)</f>
        <v/>
      </c>
      <c r="Q4" s="26" t="n">
        <v>0.9851491962223362</v>
      </c>
      <c r="R4" s="17">
        <f>AVERAGEIFS('Arm results'!$O$2:$O$201,'Arm results'!$F$2:$F$201,$A4,'Arm results'!$D$2:$D$201,"B0",'Arm results'!$N$2:$N$201,"SUCCEEDED")</f>
        <v/>
      </c>
      <c r="S4" s="17">
        <f>AVERAGEIFS('Arm results'!$O$2:$O$201,'Arm results'!$F$2:$F$201,$A4,'Arm results'!$D$2:$D$201,"A1",'Arm results'!$N$2:$N$201,"SUCCEEDED")</f>
        <v/>
      </c>
      <c r="T4" s="23">
        <f>SUMIFS('Arm results'!$AJ$2:$AJ$201,'Arm results'!$F$2:$F$201,$A4,'Arm results'!$D$2:$D$201,"B0")</f>
        <v/>
      </c>
      <c r="U4" s="23">
        <f>SUMIFS('Arm results'!$AJ$2:$AJ$201,'Arm results'!$F$2:$F$201,$A4,'Arm results'!$D$2:$D$201,"A1")</f>
        <v/>
      </c>
      <c r="V4" s="27">
        <f>T4/B4</f>
        <v/>
      </c>
      <c r="W4" s="27">
        <f>U4/B4</f>
        <v/>
      </c>
      <c r="X4" s="23">
        <f>SUMIFS('Arm results'!$H$2:$H$201,'Arm results'!$F$2:$F$201,$A4,'Arm results'!$D$2:$D$201,"B0")</f>
        <v/>
      </c>
      <c r="Y4" s="23">
        <f>SUMIFS('Arm results'!$I$2:$I$201,'Arm results'!$F$2:$F$201,$A4,'Arm results'!$D$2:$D$201,"B0")</f>
        <v/>
      </c>
    </row>
    <row r="5">
      <c r="A5" s="5" t="inlineStr">
        <is>
          <t>hard2</t>
        </is>
      </c>
      <c r="B5" s="23">
        <f>COUNTIF(Paired!$D$2:$D$101,$A5)</f>
        <v/>
      </c>
      <c r="C5" s="23">
        <f>SUMIFS(Paired!$H$2:$H$101,Paired!$D$2:$D$101,$A5)</f>
        <v/>
      </c>
      <c r="D5" s="23">
        <f>COUNTIFS('Arm results'!$F$2:$F$201,$A5,'Arm results'!$D$2:$D$201,"B0",'Arm results'!$N$2:$N$201,"SUCCEEDED")</f>
        <v/>
      </c>
      <c r="E5" s="23">
        <f>COUNTIFS('Arm results'!$F$2:$F$201,$A5,'Arm results'!$D$2:$D$201,"A1",'Arm results'!$N$2:$N$201,"SUCCEEDED")</f>
        <v/>
      </c>
      <c r="F5" s="6" t="n">
        <v>16</v>
      </c>
      <c r="G5" s="6" t="n">
        <v>10</v>
      </c>
      <c r="H5" s="6" t="n">
        <v>5</v>
      </c>
      <c r="I5" s="24">
        <f>F5/G5</f>
        <v/>
      </c>
      <c r="J5" s="25">
        <f>AVERAGEIFS(Paired!$L$2:$L$101,Paired!$D$2:$D$101,$A5,Paired!$H$2:$H$101,1)</f>
        <v/>
      </c>
      <c r="K5" s="8">
        <f>EXP(J5)</f>
        <v/>
      </c>
      <c r="L5" s="26" t="n">
        <v>1.089233545942871</v>
      </c>
      <c r="M5" s="26" t="n">
        <v>1.2623979828714</v>
      </c>
      <c r="N5" s="26" t="n">
        <v>1.255548887428453</v>
      </c>
      <c r="O5" s="25">
        <f>AVERAGEIFS(Paired!$R$2:$R$101,Paired!$D$2:$D$101,$A5,Paired!$H$2:$H$101,1)</f>
        <v/>
      </c>
      <c r="P5" s="8">
        <f>EXP(O5)</f>
        <v/>
      </c>
      <c r="Q5" s="26" t="n">
        <v>1.107488124756323</v>
      </c>
      <c r="R5" s="17">
        <f>AVERAGEIFS('Arm results'!$O$2:$O$201,'Arm results'!$F$2:$F$201,$A5,'Arm results'!$D$2:$D$201,"B0",'Arm results'!$N$2:$N$201,"SUCCEEDED")</f>
        <v/>
      </c>
      <c r="S5" s="17">
        <f>AVERAGEIFS('Arm results'!$O$2:$O$201,'Arm results'!$F$2:$F$201,$A5,'Arm results'!$D$2:$D$201,"A1",'Arm results'!$N$2:$N$201,"SUCCEEDED")</f>
        <v/>
      </c>
      <c r="T5" s="23">
        <f>SUMIFS('Arm results'!$AJ$2:$AJ$201,'Arm results'!$F$2:$F$201,$A5,'Arm results'!$D$2:$D$201,"B0")</f>
        <v/>
      </c>
      <c r="U5" s="23">
        <f>SUMIFS('Arm results'!$AJ$2:$AJ$201,'Arm results'!$F$2:$F$201,$A5,'Arm results'!$D$2:$D$201,"A1")</f>
        <v/>
      </c>
      <c r="V5" s="27">
        <f>T5/B5</f>
        <v/>
      </c>
      <c r="W5" s="27">
        <f>U5/B5</f>
        <v/>
      </c>
      <c r="X5" s="23">
        <f>SUMIFS('Arm results'!$H$2:$H$201,'Arm results'!$F$2:$F$201,$A5,'Arm results'!$D$2:$D$201,"B0")</f>
        <v/>
      </c>
      <c r="Y5" s="23">
        <f>SUMIFS('Arm results'!$I$2:$I$201,'Arm results'!$F$2:$F$201,$A5,'Arm results'!$D$2:$D$201,"B0")</f>
        <v/>
      </c>
    </row>
    <row r="6">
      <c r="A6" s="5" t="inlineStr">
        <is>
          <t>hard3</t>
        </is>
      </c>
      <c r="B6" s="23">
        <f>COUNTIF(Paired!$D$2:$D$101,$A6)</f>
        <v/>
      </c>
      <c r="C6" s="23">
        <f>SUMIFS(Paired!$H$2:$H$101,Paired!$D$2:$D$101,$A6)</f>
        <v/>
      </c>
      <c r="D6" s="23">
        <f>COUNTIFS('Arm results'!$F$2:$F$201,$A6,'Arm results'!$D$2:$D$201,"B0",'Arm results'!$N$2:$N$201,"SUCCEEDED")</f>
        <v/>
      </c>
      <c r="E6" s="23">
        <f>COUNTIFS('Arm results'!$F$2:$F$201,$A6,'Arm results'!$D$2:$D$201,"A1",'Arm results'!$N$2:$N$201,"SUCCEEDED")</f>
        <v/>
      </c>
      <c r="F6" s="6" t="n">
        <v>15</v>
      </c>
      <c r="G6" s="6" t="n">
        <v>9</v>
      </c>
      <c r="H6" s="6" t="n">
        <v>4</v>
      </c>
      <c r="I6" s="24">
        <f>F6/G6</f>
        <v/>
      </c>
      <c r="J6" s="25">
        <f>AVERAGEIFS(Paired!$L$2:$L$101,Paired!$D$2:$D$101,$A6,Paired!$H$2:$H$101,1)</f>
        <v/>
      </c>
      <c r="K6" s="8">
        <f>EXP(J6)</f>
        <v/>
      </c>
      <c r="L6" s="26" t="n">
        <v>1.197314814814466</v>
      </c>
      <c r="M6" s="26" t="n">
        <v>1.469698608923048</v>
      </c>
      <c r="N6" s="26" t="n">
        <v>1.407517184519902</v>
      </c>
      <c r="O6" s="25">
        <f>AVERAGEIFS(Paired!$R$2:$R$101,Paired!$D$2:$D$101,$A6,Paired!$H$2:$H$101,1)</f>
        <v/>
      </c>
      <c r="P6" s="8">
        <f>EXP(O6)</f>
        <v/>
      </c>
      <c r="Q6" s="26" t="n">
        <v>1.221105185814777</v>
      </c>
      <c r="R6" s="17">
        <f>AVERAGEIFS('Arm results'!$O$2:$O$201,'Arm results'!$F$2:$F$201,$A6,'Arm results'!$D$2:$D$201,"B0",'Arm results'!$N$2:$N$201,"SUCCEEDED")</f>
        <v/>
      </c>
      <c r="S6" s="17">
        <f>AVERAGEIFS('Arm results'!$O$2:$O$201,'Arm results'!$F$2:$F$201,$A6,'Arm results'!$D$2:$D$201,"A1",'Arm results'!$N$2:$N$201,"SUCCEEDED")</f>
        <v/>
      </c>
      <c r="T6" s="23">
        <f>SUMIFS('Arm results'!$AJ$2:$AJ$201,'Arm results'!$F$2:$F$201,$A6,'Arm results'!$D$2:$D$201,"B0")</f>
        <v/>
      </c>
      <c r="U6" s="23">
        <f>SUMIFS('Arm results'!$AJ$2:$AJ$201,'Arm results'!$F$2:$F$201,$A6,'Arm results'!$D$2:$D$201,"A1")</f>
        <v/>
      </c>
      <c r="V6" s="27">
        <f>T6/B6</f>
        <v/>
      </c>
      <c r="W6" s="27">
        <f>U6/B6</f>
        <v/>
      </c>
      <c r="X6" s="23">
        <f>SUMIFS('Arm results'!$H$2:$H$201,'Arm results'!$F$2:$F$201,$A6,'Arm results'!$D$2:$D$201,"B0")</f>
        <v/>
      </c>
      <c r="Y6" s="23">
        <f>SUMIFS('Arm results'!$I$2:$I$201,'Arm results'!$F$2:$F$201,$A6,'Arm results'!$D$2:$D$201,"B0")</f>
        <v/>
      </c>
    </row>
    <row r="7">
      <c r="A7" s="5" t="inlineStr">
        <is>
          <t>hard4</t>
        </is>
      </c>
      <c r="B7" s="23">
        <f>COUNTIF(Paired!$D$2:$D$101,$A7)</f>
        <v/>
      </c>
      <c r="C7" s="23">
        <f>SUMIFS(Paired!$H$2:$H$101,Paired!$D$2:$D$101,$A7)</f>
        <v/>
      </c>
      <c r="D7" s="23">
        <f>COUNTIFS('Arm results'!$F$2:$F$201,$A7,'Arm results'!$D$2:$D$201,"B0",'Arm results'!$N$2:$N$201,"SUCCEEDED")</f>
        <v/>
      </c>
      <c r="E7" s="23">
        <f>COUNTIFS('Arm results'!$F$2:$F$201,$A7,'Arm results'!$D$2:$D$201,"A1",'Arm results'!$N$2:$N$201,"SUCCEEDED")</f>
        <v/>
      </c>
      <c r="F7" s="6" t="n">
        <v>6</v>
      </c>
      <c r="G7" s="6" t="n">
        <v>5</v>
      </c>
      <c r="H7" s="6" t="n">
        <v>2</v>
      </c>
      <c r="I7" s="24">
        <f>F7/G7</f>
        <v/>
      </c>
      <c r="J7" s="25">
        <f>AVERAGEIFS(Paired!$L$2:$L$101,Paired!$D$2:$D$101,$A7,Paired!$H$2:$H$101,1)</f>
        <v/>
      </c>
      <c r="K7" s="8">
        <f>EXP(J7)</f>
        <v/>
      </c>
      <c r="L7" s="26" t="n">
        <v>1.053158079922728</v>
      </c>
      <c r="M7" s="26" t="n">
        <v>1.081830808815373</v>
      </c>
      <c r="N7" s="26" t="n">
        <v>1.087949439547114</v>
      </c>
      <c r="O7" s="25">
        <f>AVERAGEIFS(Paired!$R$2:$R$101,Paired!$D$2:$D$101,$A7,Paired!$H$2:$H$101,1)</f>
        <v/>
      </c>
      <c r="P7" s="8">
        <f>EXP(O7)</f>
        <v/>
      </c>
      <c r="Q7" s="26" t="n">
        <v>1.018072329992665</v>
      </c>
      <c r="R7" s="17">
        <f>AVERAGEIFS('Arm results'!$O$2:$O$201,'Arm results'!$F$2:$F$201,$A7,'Arm results'!$D$2:$D$201,"B0",'Arm results'!$N$2:$N$201,"SUCCEEDED")</f>
        <v/>
      </c>
      <c r="S7" s="17">
        <f>AVERAGEIFS('Arm results'!$O$2:$O$201,'Arm results'!$F$2:$F$201,$A7,'Arm results'!$D$2:$D$201,"A1",'Arm results'!$N$2:$N$201,"SUCCEEDED")</f>
        <v/>
      </c>
      <c r="T7" s="23">
        <f>SUMIFS('Arm results'!$AJ$2:$AJ$201,'Arm results'!$F$2:$F$201,$A7,'Arm results'!$D$2:$D$201,"B0")</f>
        <v/>
      </c>
      <c r="U7" s="23">
        <f>SUMIFS('Arm results'!$AJ$2:$AJ$201,'Arm results'!$F$2:$F$201,$A7,'Arm results'!$D$2:$D$201,"A1")</f>
        <v/>
      </c>
      <c r="V7" s="27">
        <f>T7/B7</f>
        <v/>
      </c>
      <c r="W7" s="27">
        <f>U7/B7</f>
        <v/>
      </c>
      <c r="X7" s="23">
        <f>SUMIFS('Arm results'!$H$2:$H$201,'Arm results'!$F$2:$F$201,$A7,'Arm results'!$D$2:$D$201,"B0")</f>
        <v/>
      </c>
      <c r="Y7" s="23">
        <f>SUMIFS('Arm results'!$I$2:$I$201,'Arm results'!$F$2:$F$201,$A7,'Arm results'!$D$2:$D$201,"B0")</f>
        <v/>
      </c>
    </row>
    <row r="8">
      <c r="A8" s="5" t="inlineStr">
        <is>
          <t>med1</t>
        </is>
      </c>
      <c r="B8" s="23">
        <f>COUNTIF(Paired!$D$2:$D$101,$A8)</f>
        <v/>
      </c>
      <c r="C8" s="23">
        <f>SUMIFS(Paired!$H$2:$H$101,Paired!$D$2:$D$101,$A8)</f>
        <v/>
      </c>
      <c r="D8" s="23">
        <f>COUNTIFS('Arm results'!$F$2:$F$201,$A8,'Arm results'!$D$2:$D$201,"B0",'Arm results'!$N$2:$N$201,"SUCCEEDED")</f>
        <v/>
      </c>
      <c r="E8" s="23">
        <f>COUNTIFS('Arm results'!$F$2:$F$201,$A8,'Arm results'!$D$2:$D$201,"A1",'Arm results'!$N$2:$N$201,"SUCCEEDED")</f>
        <v/>
      </c>
      <c r="F8" s="6" t="n">
        <v>9</v>
      </c>
      <c r="G8" s="6" t="n">
        <v>4</v>
      </c>
      <c r="H8" s="6" t="n">
        <v>5</v>
      </c>
      <c r="I8" s="24">
        <f>F8/G8</f>
        <v/>
      </c>
      <c r="J8" s="25">
        <f>AVERAGEIFS(Paired!$L$2:$L$101,Paired!$D$2:$D$101,$A8,Paired!$H$2:$H$101,1)</f>
        <v/>
      </c>
      <c r="K8" s="8">
        <f>EXP(J8)</f>
        <v/>
      </c>
      <c r="L8" s="26" t="n">
        <v>1.545289030659079</v>
      </c>
      <c r="M8" s="26" t="n">
        <v>1.575573392419495</v>
      </c>
      <c r="N8" s="26" t="n">
        <v>1.625016114689797</v>
      </c>
      <c r="O8" s="25">
        <f>AVERAGEIFS(Paired!$R$2:$R$101,Paired!$D$2:$D$101,$A8,Paired!$H$2:$H$101,1)</f>
        <v/>
      </c>
      <c r="P8" s="8">
        <f>EXP(O8)</f>
        <v/>
      </c>
      <c r="Q8" s="26" t="n">
        <v>1.060248732819227</v>
      </c>
      <c r="R8" s="17">
        <f>AVERAGEIFS('Arm results'!$O$2:$O$201,'Arm results'!$F$2:$F$201,$A8,'Arm results'!$D$2:$D$201,"B0",'Arm results'!$N$2:$N$201,"SUCCEEDED")</f>
        <v/>
      </c>
      <c r="S8" s="17">
        <f>AVERAGEIFS('Arm results'!$O$2:$O$201,'Arm results'!$F$2:$F$201,$A8,'Arm results'!$D$2:$D$201,"A1",'Arm results'!$N$2:$N$201,"SUCCEEDED")</f>
        <v/>
      </c>
      <c r="T8" s="23">
        <f>SUMIFS('Arm results'!$AJ$2:$AJ$201,'Arm results'!$F$2:$F$201,$A8,'Arm results'!$D$2:$D$201,"B0")</f>
        <v/>
      </c>
      <c r="U8" s="23">
        <f>SUMIFS('Arm results'!$AJ$2:$AJ$201,'Arm results'!$F$2:$F$201,$A8,'Arm results'!$D$2:$D$201,"A1")</f>
        <v/>
      </c>
      <c r="V8" s="27">
        <f>T8/B8</f>
        <v/>
      </c>
      <c r="W8" s="27">
        <f>U8/B8</f>
        <v/>
      </c>
      <c r="X8" s="23">
        <f>SUMIFS('Arm results'!$H$2:$H$201,'Arm results'!$F$2:$F$201,$A8,'Arm results'!$D$2:$D$201,"B0")</f>
        <v/>
      </c>
      <c r="Y8" s="23">
        <f>SUMIFS('Arm results'!$I$2:$I$201,'Arm results'!$F$2:$F$201,$A8,'Arm results'!$D$2:$D$201,"B0")</f>
        <v/>
      </c>
    </row>
    <row r="9">
      <c r="A9" s="5" t="inlineStr">
        <is>
          <t>med2</t>
        </is>
      </c>
      <c r="B9" s="23">
        <f>COUNTIF(Paired!$D$2:$D$101,$A9)</f>
        <v/>
      </c>
      <c r="C9" s="23">
        <f>SUMIFS(Paired!$H$2:$H$101,Paired!$D$2:$D$101,$A9)</f>
        <v/>
      </c>
      <c r="D9" s="23">
        <f>COUNTIFS('Arm results'!$F$2:$F$201,$A9,'Arm results'!$D$2:$D$201,"B0",'Arm results'!$N$2:$N$201,"SUCCEEDED")</f>
        <v/>
      </c>
      <c r="E9" s="23">
        <f>COUNTIFS('Arm results'!$F$2:$F$201,$A9,'Arm results'!$D$2:$D$201,"A1",'Arm results'!$N$2:$N$201,"SUCCEEDED")</f>
        <v/>
      </c>
      <c r="F9" s="6" t="n">
        <v>9</v>
      </c>
      <c r="G9" s="6" t="n">
        <v>4</v>
      </c>
      <c r="H9" s="6" t="n">
        <v>5</v>
      </c>
      <c r="I9" s="24">
        <f>F9/G9</f>
        <v/>
      </c>
      <c r="J9" s="25">
        <f>AVERAGEIFS(Paired!$L$2:$L$101,Paired!$D$2:$D$101,$A9,Paired!$H$2:$H$101,1)</f>
        <v/>
      </c>
      <c r="K9" s="8">
        <f>EXP(J9)</f>
        <v/>
      </c>
      <c r="L9" s="26" t="n">
        <v>1.587837858279792</v>
      </c>
      <c r="M9" s="26" t="n">
        <v>1.521590690171168</v>
      </c>
      <c r="N9" s="26" t="n">
        <v>1.612058748757734</v>
      </c>
      <c r="O9" s="25">
        <f>AVERAGEIFS(Paired!$R$2:$R$101,Paired!$D$2:$D$101,$A9,Paired!$H$2:$H$101,1)</f>
        <v/>
      </c>
      <c r="P9" s="8">
        <f>EXP(O9)</f>
        <v/>
      </c>
      <c r="Q9" s="26" t="n">
        <v>0.9677039715167995</v>
      </c>
      <c r="R9" s="17">
        <f>AVERAGEIFS('Arm results'!$O$2:$O$201,'Arm results'!$F$2:$F$201,$A9,'Arm results'!$D$2:$D$201,"B0",'Arm results'!$N$2:$N$201,"SUCCEEDED")</f>
        <v/>
      </c>
      <c r="S9" s="17">
        <f>AVERAGEIFS('Arm results'!$O$2:$O$201,'Arm results'!$F$2:$F$201,$A9,'Arm results'!$D$2:$D$201,"A1",'Arm results'!$N$2:$N$201,"SUCCEEDED")</f>
        <v/>
      </c>
      <c r="T9" s="23">
        <f>SUMIFS('Arm results'!$AJ$2:$AJ$201,'Arm results'!$F$2:$F$201,$A9,'Arm results'!$D$2:$D$201,"B0")</f>
        <v/>
      </c>
      <c r="U9" s="23">
        <f>SUMIFS('Arm results'!$AJ$2:$AJ$201,'Arm results'!$F$2:$F$201,$A9,'Arm results'!$D$2:$D$201,"A1")</f>
        <v/>
      </c>
      <c r="V9" s="27">
        <f>T9/B9</f>
        <v/>
      </c>
      <c r="W9" s="27">
        <f>U9/B9</f>
        <v/>
      </c>
      <c r="X9" s="23">
        <f>SUMIFS('Arm results'!$H$2:$H$201,'Arm results'!$F$2:$F$201,$A9,'Arm results'!$D$2:$D$201,"B0")</f>
        <v/>
      </c>
      <c r="Y9" s="23">
        <f>SUMIFS('Arm results'!$I$2:$I$201,'Arm results'!$F$2:$F$201,$A9,'Arm results'!$D$2:$D$201,"B0")</f>
        <v/>
      </c>
    </row>
    <row r="10">
      <c r="A10" s="5" t="inlineStr">
        <is>
          <t>med3</t>
        </is>
      </c>
      <c r="B10" s="23">
        <f>COUNTIF(Paired!$D$2:$D$101,$A10)</f>
        <v/>
      </c>
      <c r="C10" s="23">
        <f>SUMIFS(Paired!$H$2:$H$101,Paired!$D$2:$D$101,$A10)</f>
        <v/>
      </c>
      <c r="D10" s="23">
        <f>COUNTIFS('Arm results'!$F$2:$F$201,$A10,'Arm results'!$D$2:$D$201,"B0",'Arm results'!$N$2:$N$201,"SUCCEEDED")</f>
        <v/>
      </c>
      <c r="E10" s="23">
        <f>COUNTIFS('Arm results'!$F$2:$F$201,$A10,'Arm results'!$D$2:$D$201,"A1",'Arm results'!$N$2:$N$201,"SUCCEEDED")</f>
        <v/>
      </c>
      <c r="F10" s="6" t="n">
        <v>11</v>
      </c>
      <c r="G10" s="6" t="n">
        <v>6</v>
      </c>
      <c r="H10" s="6" t="n">
        <v>2</v>
      </c>
      <c r="I10" s="24">
        <f>F10/G10</f>
        <v/>
      </c>
      <c r="J10" s="25">
        <f>AVERAGEIFS(Paired!$L$2:$L$101,Paired!$D$2:$D$101,$A10,Paired!$H$2:$H$101,1)</f>
        <v/>
      </c>
      <c r="K10" s="8">
        <f>EXP(J10)</f>
        <v/>
      </c>
      <c r="L10" s="26" t="n">
        <v>1.725059618366883</v>
      </c>
      <c r="M10" s="26" t="n">
        <v>1.625020080993344</v>
      </c>
      <c r="N10" s="26" t="n">
        <v>1.711580927482534</v>
      </c>
      <c r="O10" s="25">
        <f>AVERAGEIFS(Paired!$R$2:$R$101,Paired!$D$2:$D$101,$A10,Paired!$H$2:$H$101,1)</f>
        <v/>
      </c>
      <c r="P10" s="8">
        <f>EXP(O10)</f>
        <v/>
      </c>
      <c r="Q10" s="26" t="n">
        <v>0.9962088034743423</v>
      </c>
      <c r="R10" s="17">
        <f>AVERAGEIFS('Arm results'!$O$2:$O$201,'Arm results'!$F$2:$F$201,$A10,'Arm results'!$D$2:$D$201,"B0",'Arm results'!$N$2:$N$201,"SUCCEEDED")</f>
        <v/>
      </c>
      <c r="S10" s="17">
        <f>AVERAGEIFS('Arm results'!$O$2:$O$201,'Arm results'!$F$2:$F$201,$A10,'Arm results'!$D$2:$D$201,"A1",'Arm results'!$N$2:$N$201,"SUCCEEDED")</f>
        <v/>
      </c>
      <c r="T10" s="23">
        <f>SUMIFS('Arm results'!$AJ$2:$AJ$201,'Arm results'!$F$2:$F$201,$A10,'Arm results'!$D$2:$D$201,"B0")</f>
        <v/>
      </c>
      <c r="U10" s="23">
        <f>SUMIFS('Arm results'!$AJ$2:$AJ$201,'Arm results'!$F$2:$F$201,$A10,'Arm results'!$D$2:$D$201,"A1")</f>
        <v/>
      </c>
      <c r="V10" s="27">
        <f>T10/B10</f>
        <v/>
      </c>
      <c r="W10" s="27">
        <f>U10/B10</f>
        <v/>
      </c>
      <c r="X10" s="23">
        <f>SUMIFS('Arm results'!$H$2:$H$201,'Arm results'!$F$2:$F$201,$A10,'Arm results'!$D$2:$D$201,"B0")</f>
        <v/>
      </c>
      <c r="Y10" s="23">
        <f>SUMIFS('Arm results'!$I$2:$I$201,'Arm results'!$F$2:$F$201,$A10,'Arm results'!$D$2:$D$201,"B0")</f>
        <v/>
      </c>
    </row>
    <row r="11">
      <c r="A11" s="5" t="inlineStr">
        <is>
          <t>med4</t>
        </is>
      </c>
      <c r="B11" s="23">
        <f>COUNTIF(Paired!$D$2:$D$101,$A11)</f>
        <v/>
      </c>
      <c r="C11" s="23">
        <f>SUMIFS(Paired!$H$2:$H$101,Paired!$D$2:$D$101,$A11)</f>
        <v/>
      </c>
      <c r="D11" s="23">
        <f>COUNTIFS('Arm results'!$F$2:$F$201,$A11,'Arm results'!$D$2:$D$201,"B0",'Arm results'!$N$2:$N$201,"SUCCEEDED")</f>
        <v/>
      </c>
      <c r="E11" s="23">
        <f>COUNTIFS('Arm results'!$F$2:$F$201,$A11,'Arm results'!$D$2:$D$201,"A1",'Arm results'!$N$2:$N$201,"SUCCEEDED")</f>
        <v/>
      </c>
      <c r="F11" s="6" t="n">
        <v>6</v>
      </c>
      <c r="G11" s="6" t="n">
        <v>5</v>
      </c>
      <c r="H11" s="6" t="n">
        <v>2</v>
      </c>
      <c r="I11" s="24">
        <f>F11/G11</f>
        <v/>
      </c>
      <c r="J11" s="25">
        <f>AVERAGEIFS(Paired!$L$2:$L$101,Paired!$D$2:$D$101,$A11,Paired!$H$2:$H$101,1)</f>
        <v/>
      </c>
      <c r="K11" s="8">
        <f>EXP(J11)</f>
        <v/>
      </c>
      <c r="L11" s="26" t="n">
        <v>1.15074922758932</v>
      </c>
      <c r="M11" s="26" t="n">
        <v>1.065177376332894</v>
      </c>
      <c r="N11" s="26" t="n">
        <v>1.07145755045692</v>
      </c>
      <c r="O11" s="25">
        <f>AVERAGEIFS(Paired!$R$2:$R$101,Paired!$D$2:$D$101,$A11,Paired!$H$2:$H$101,1)</f>
        <v/>
      </c>
      <c r="P11" s="8">
        <f>EXP(O11)</f>
        <v/>
      </c>
      <c r="Q11" s="26" t="n">
        <v>0.9882904056256354</v>
      </c>
      <c r="R11" s="17">
        <f>AVERAGEIFS('Arm results'!$O$2:$O$201,'Arm results'!$F$2:$F$201,$A11,'Arm results'!$D$2:$D$201,"B0",'Arm results'!$N$2:$N$201,"SUCCEEDED")</f>
        <v/>
      </c>
      <c r="S11" s="17">
        <f>AVERAGEIFS('Arm results'!$O$2:$O$201,'Arm results'!$F$2:$F$201,$A11,'Arm results'!$D$2:$D$201,"A1",'Arm results'!$N$2:$N$201,"SUCCEEDED")</f>
        <v/>
      </c>
      <c r="T11" s="23">
        <f>SUMIFS('Arm results'!$AJ$2:$AJ$201,'Arm results'!$F$2:$F$201,$A11,'Arm results'!$D$2:$D$201,"B0")</f>
        <v/>
      </c>
      <c r="U11" s="23">
        <f>SUMIFS('Arm results'!$AJ$2:$AJ$201,'Arm results'!$F$2:$F$201,$A11,'Arm results'!$D$2:$D$201,"A1")</f>
        <v/>
      </c>
      <c r="V11" s="27">
        <f>T11/B11</f>
        <v/>
      </c>
      <c r="W11" s="27">
        <f>U11/B11</f>
        <v/>
      </c>
      <c r="X11" s="23">
        <f>SUMIFS('Arm results'!$H$2:$H$201,'Arm results'!$F$2:$F$201,$A11,'Arm results'!$D$2:$D$201,"B0")</f>
        <v/>
      </c>
      <c r="Y11" s="23">
        <f>SUMIFS('Arm results'!$I$2:$I$201,'Arm results'!$F$2:$F$201,$A11,'Arm results'!$D$2:$D$201,"B0")</f>
        <v/>
      </c>
    </row>
    <row r="12">
      <c r="A12" s="13" t="inlineStr">
        <is>
          <t>All</t>
        </is>
      </c>
      <c r="B12" s="13">
        <f>SUM(B2:B11)</f>
        <v/>
      </c>
      <c r="C12" s="13">
        <f>SUM(C2:C11)</f>
        <v/>
      </c>
      <c r="D12" s="13">
        <f>SUM(D2:D11)</f>
        <v/>
      </c>
      <c r="E12" s="13">
        <f>SUM(E2:E11)</f>
        <v/>
      </c>
      <c r="J12" s="28">
        <f>AVERAGE(J2:J11)</f>
        <v/>
      </c>
      <c r="K12" s="29">
        <f>EXP(J12)</f>
        <v/>
      </c>
      <c r="O12" s="28">
        <f>AVERAGE(O2:O11)</f>
        <v/>
      </c>
      <c r="P12" s="29">
        <f>EXP(O12)</f>
        <v/>
      </c>
      <c r="T12" s="13">
        <f>SUM(T2:T11)</f>
        <v/>
      </c>
      <c r="U12" s="13">
        <f>SUM(U2:U11)</f>
        <v/>
      </c>
      <c r="V12" s="30">
        <f>T12/B12</f>
        <v/>
      </c>
      <c r="W12" s="30">
        <f>U12/B12</f>
        <v/>
      </c>
      <c r="X12" s="13">
        <f>SUM(X2:X11)</f>
        <v/>
      </c>
      <c r="Y12" s="13">
        <f>SUM(Y2:Y11)</f>
        <v/>
      </c>
    </row>
    <row r="14">
      <c r="A14" s="5" t="inlineStr">
        <is>
          <t>Row 'All': S = exp(mean of template mean ln speedups) = the pre-registered primary estimate (equal weight per template). Speedups use only tasks where both arms succeeded; mean T_exec uses succeeded arms only; accuracy counts a failed arm as incorrect. '(script)' columns: Source: data/cohort100_ab/analysis/eval.json (cohort100_ab_analyze.py, unchanged, --runs eval-b1 eval-b2 --decompose dec-1)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11" customWidth="1" min="3" max="3"/>
    <col width="11" customWidth="1" min="4" max="4"/>
    <col width="11" customWidth="1" min="5" max="5"/>
    <col width="8" customWidth="1" min="6" max="6"/>
    <col width="10" customWidth="1" min="7" max="7"/>
    <col width="13" customWidth="1" min="8" max="8"/>
    <col width="60" customWidth="1" min="9" max="9"/>
  </cols>
  <sheetData>
    <row r="1" ht="45" customHeight="1">
      <c r="A1" s="4" t="inlineStr">
        <is>
          <t>Section</t>
        </is>
      </c>
      <c r="B1" s="4" t="inlineStr">
        <is>
          <t>Estimate</t>
        </is>
      </c>
      <c r="C1" s="4" t="inlineStr">
        <is>
          <t>Value</t>
        </is>
      </c>
      <c r="D1" s="4" t="inlineStr">
        <is>
          <t>95% CI low</t>
        </is>
      </c>
      <c r="E1" s="4" t="inlineStr">
        <is>
          <t>95% CI high</t>
        </is>
      </c>
      <c r="F1" s="4" t="inlineStr">
        <is>
          <t>n tasks</t>
        </is>
      </c>
      <c r="G1" s="4" t="inlineStr">
        <is>
          <t>n templates</t>
        </is>
      </c>
      <c r="H1" s="4" t="inlineStr">
        <is>
          <t>Workbook check</t>
        </is>
      </c>
      <c r="I1" s="4" t="inlineStr">
        <is>
          <t>Note</t>
        </is>
      </c>
    </row>
    <row r="2">
      <c r="A2" s="31" t="inlineStr">
        <is>
          <t>§4</t>
        </is>
      </c>
      <c r="B2" s="2" t="inlineStr">
        <is>
          <t>Primary S — geometric-mean speedup, equal weight per template</t>
        </is>
      </c>
      <c r="C2" s="32" t="n">
        <v>1.28270297539381</v>
      </c>
      <c r="D2" s="32" t="n">
        <v>1.224641810051412</v>
      </c>
      <c r="E2" s="32" t="n">
        <v>1.344271892974096</v>
      </c>
      <c r="F2" s="33" t="n">
        <v>99</v>
      </c>
      <c r="G2" s="33" t="n">
        <v>10</v>
      </c>
      <c r="H2" s="34">
        <f>Templates!$K$12</f>
        <v/>
      </c>
      <c r="I2" s="2" t="inlineStr">
        <is>
          <t>H1 supported: CI lower bound &gt; 1</t>
        </is>
      </c>
    </row>
    <row r="3">
      <c r="A3" s="31" t="inlineStr">
        <is>
          <t>§4</t>
        </is>
      </c>
      <c r="B3" s="2" t="inlineStr">
        <is>
          <t>Latency reduction 1 - 1/S</t>
        </is>
      </c>
      <c r="C3" s="35" t="n">
        <v>0.2203962887877577</v>
      </c>
      <c r="D3" s="35" t="n"/>
      <c r="E3" s="35" t="n"/>
      <c r="F3" s="33" t="n"/>
      <c r="G3" s="33" t="n"/>
      <c r="H3" s="36">
        <f>1-1/Templates!$K$12</f>
        <v/>
      </c>
      <c r="I3" s="2" t="inlineStr"/>
    </row>
    <row r="4">
      <c r="A4" s="31" t="inlineStr">
        <is>
          <t>§4</t>
        </is>
      </c>
      <c r="B4" s="2" t="inlineStr">
        <is>
          <t>Task-pooled geometric mean (equal weight per task)</t>
        </is>
      </c>
      <c r="C4" s="32" t="n">
        <v>1.265418169826062</v>
      </c>
      <c r="D4" s="32" t="n"/>
      <c r="E4" s="32" t="n"/>
      <c r="F4" s="33" t="n">
        <v>99</v>
      </c>
      <c r="G4" s="33" t="n"/>
      <c r="H4" s="34">
        <f>EXP(AVERAGEIFS(Paired!$L$2:$L$101,Paired!$H$2:$H$101,1))</f>
        <v/>
      </c>
      <c r="I4" s="2" t="inlineStr"/>
    </row>
    <row r="5">
      <c r="A5" s="31" t="inlineStr">
        <is>
          <t>§4</t>
        </is>
      </c>
      <c r="B5" s="2" t="inlineStr">
        <is>
          <t>PDF latency reduction (T_B0 - T_A1)/T_B0, template-weighted mean</t>
        </is>
      </c>
      <c r="C5" s="35" t="n">
        <v>0.1864091295317835</v>
      </c>
      <c r="D5" s="35" t="n"/>
      <c r="E5" s="35" t="n"/>
      <c r="F5" s="33" t="n"/>
      <c r="G5" s="33" t="n"/>
      <c r="H5" s="35" t="n"/>
      <c r="I5" s="2" t="inlineStr"/>
    </row>
    <row r="6">
      <c r="A6" s="31" t="inlineStr">
        <is>
          <t>§5.1</t>
        </is>
      </c>
      <c r="B6" s="2" t="inlineStr">
        <is>
          <t>Replay speedup, dependency schedule (B0 durations)</t>
        </is>
      </c>
      <c r="C6" s="32" t="n">
        <v>1.315703577043394</v>
      </c>
      <c r="D6" s="32" t="n">
        <v>1.29935341670541</v>
      </c>
      <c r="E6" s="32" t="n">
        <v>1.331506805419266</v>
      </c>
      <c r="F6" s="33" t="n">
        <v>99</v>
      </c>
      <c r="G6" s="33" t="n">
        <v>10</v>
      </c>
      <c r="H6" s="32" t="n"/>
      <c r="I6" s="2" t="inlineStr">
        <is>
          <t>Used for H2</t>
        </is>
      </c>
    </row>
    <row r="7">
      <c r="A7" s="31" t="inlineStr">
        <is>
          <t>§5.1</t>
        </is>
      </c>
      <c r="B7" s="2" t="inlineStr">
        <is>
          <t>Replay speedup, dependency schedule (A1 durations)</t>
        </is>
      </c>
      <c r="C7" s="32" t="n">
        <v>1.325226693836109</v>
      </c>
      <c r="D7" s="32" t="n">
        <v>1.306436667368249</v>
      </c>
      <c r="E7" s="32" t="n">
        <v>1.344185571017356</v>
      </c>
      <c r="F7" s="33" t="n">
        <v>99</v>
      </c>
      <c r="G7" s="33" t="n">
        <v>10</v>
      </c>
      <c r="H7" s="32" t="n"/>
      <c r="I7" s="2" t="inlineStr"/>
    </row>
    <row r="8">
      <c r="A8" s="31" t="inlineStr">
        <is>
          <t>§5.2</t>
        </is>
      </c>
      <c r="B8" s="2" t="inlineStr">
        <is>
          <t>Replay speedup, wave-barrier schedule (B0 durations)</t>
        </is>
      </c>
      <c r="C8" s="32" t="n">
        <v>1.22334952251452</v>
      </c>
      <c r="D8" s="32" t="n"/>
      <c r="E8" s="32" t="n"/>
      <c r="F8" s="33" t="n">
        <v>99</v>
      </c>
      <c r="G8" s="33" t="n">
        <v>10</v>
      </c>
      <c r="H8" s="32" t="n"/>
      <c r="I8" s="2" t="inlineStr"/>
    </row>
    <row r="9">
      <c r="A9" s="31" t="inlineStr">
        <is>
          <t>§5.2</t>
        </is>
      </c>
      <c r="B9" s="2" t="inlineStr">
        <is>
          <t>Replay speedup, wave-barrier schedule (A1 durations)</t>
        </is>
      </c>
      <c r="C9" s="32" t="n">
        <v>1.230300802523172</v>
      </c>
      <c r="D9" s="32" t="n"/>
      <c r="E9" s="32" t="n"/>
      <c r="F9" s="33" t="n">
        <v>99</v>
      </c>
      <c r="G9" s="33" t="n">
        <v>10</v>
      </c>
      <c r="H9" s="32" t="n"/>
      <c r="I9" s="2" t="inlineStr"/>
    </row>
    <row r="10">
      <c r="A10" s="31" t="inlineStr">
        <is>
          <t>§5.2</t>
        </is>
      </c>
      <c r="B10" s="2" t="inlineStr">
        <is>
          <t>Wave-barrier loss (template mean), B0 durations</t>
        </is>
      </c>
      <c r="C10" s="35" t="n">
        <v>0.0673592893287753</v>
      </c>
      <c r="D10" s="35" t="n"/>
      <c r="E10" s="35" t="n"/>
      <c r="F10" s="33" t="n"/>
      <c r="G10" s="33" t="n"/>
      <c r="H10" s="35" t="n"/>
      <c r="I10" s="2" t="inlineStr">
        <is>
          <t>(barrier time - dependency CP) / barrier time</t>
        </is>
      </c>
    </row>
    <row r="11">
      <c r="A11" s="31" t="inlineStr">
        <is>
          <t>§5.2</t>
        </is>
      </c>
      <c r="B11" s="2" t="inlineStr">
        <is>
          <t>Wave-barrier loss (template mean), A1 durations</t>
        </is>
      </c>
      <c r="C11" s="35" t="n">
        <v>0.06858698966793642</v>
      </c>
      <c r="D11" s="35" t="n"/>
      <c r="E11" s="35" t="n"/>
      <c r="F11" s="33" t="n"/>
      <c r="G11" s="33" t="n"/>
      <c r="H11" s="35" t="n"/>
      <c r="I11" s="2" t="inlineStr"/>
    </row>
    <row r="12">
      <c r="A12" s="31" t="inlineStr">
        <is>
          <t>§5.3</t>
        </is>
      </c>
      <c r="B12" s="2" t="inlineStr">
        <is>
          <t>Orchestration overhead A1 (s, template mean)</t>
        </is>
      </c>
      <c r="C12" s="37" t="n">
        <v>3.66792441515187</v>
      </c>
      <c r="D12" s="37" t="n"/>
      <c r="E12" s="37" t="n"/>
      <c r="F12" s="33" t="n"/>
      <c r="G12" s="33" t="n"/>
      <c r="H12" s="37" t="n"/>
      <c r="I12" s="2" t="inlineStr">
        <is>
          <t>T_exec - replay CP (A1 durations)</t>
        </is>
      </c>
    </row>
    <row r="13">
      <c r="A13" s="31" t="inlineStr">
        <is>
          <t>§5.3</t>
        </is>
      </c>
      <c r="B13" s="2" t="inlineStr">
        <is>
          <t>Orchestration overhead B0 (s, template mean)</t>
        </is>
      </c>
      <c r="C13" s="37" t="n">
        <v>3.162526035798172</v>
      </c>
      <c r="D13" s="37" t="n"/>
      <c r="E13" s="37" t="n"/>
      <c r="F13" s="33" t="n"/>
      <c r="G13" s="33" t="n"/>
      <c r="H13" s="37" t="n"/>
      <c r="I13" s="2" t="inlineStr">
        <is>
          <t>T_exec - sum of B0 node durations</t>
        </is>
      </c>
    </row>
    <row r="14">
      <c r="A14" s="31" t="inlineStr">
        <is>
          <t>§5.4</t>
        </is>
      </c>
      <c r="B14" s="2" t="inlineStr">
        <is>
          <t>Speedup including T_dec (B0 + T_dec) / (A1 + T_dec)</t>
        </is>
      </c>
      <c r="C14" s="32" t="n">
        <v>1.277182925840226</v>
      </c>
      <c r="D14" s="32" t="n">
        <v>1.22017570701109</v>
      </c>
      <c r="E14" s="32" t="n">
        <v>1.337730819905072</v>
      </c>
      <c r="F14" s="33" t="n">
        <v>99</v>
      </c>
      <c r="G14" s="33" t="n">
        <v>10</v>
      </c>
      <c r="H14" s="34">
        <f>Templates!$P$12</f>
        <v/>
      </c>
      <c r="I14" s="2" t="inlineStr">
        <is>
          <t>T_dec from dec-1 (deviations D1, D5)</t>
        </is>
      </c>
    </row>
    <row r="15">
      <c r="A15" s="31" t="inlineStr">
        <is>
          <t>§5.4</t>
        </is>
      </c>
      <c r="B15" s="2" t="inlineStr">
        <is>
          <t>Mean T_dec (s), tasks where both arms succeeded</t>
        </is>
      </c>
      <c r="C15" s="37" t="n">
        <v>2.551625425255307</v>
      </c>
      <c r="D15" s="37" t="n"/>
      <c r="E15" s="37" t="n"/>
      <c r="F15" s="33" t="n">
        <v>99</v>
      </c>
      <c r="G15" s="33" t="n"/>
      <c r="H15" s="38">
        <f>AVERAGEIFS(Paired!$O$2:$O$101,Paired!$H$2:$H$101,1)</f>
        <v/>
      </c>
      <c r="I15" s="2" t="inlineStr"/>
    </row>
    <row r="16">
      <c r="A16" s="31" t="inlineStr">
        <is>
          <t>§5.4</t>
        </is>
      </c>
      <c r="B16" s="2" t="inlineStr">
        <is>
          <t>Returned DAG exactly matches the dataset DAG (share of 100)</t>
        </is>
      </c>
      <c r="C16" s="35" t="n">
        <v>0.6899999999999999</v>
      </c>
      <c r="D16" s="35" t="n"/>
      <c r="E16" s="35" t="n"/>
      <c r="F16" s="33" t="n">
        <v>100</v>
      </c>
      <c r="G16" s="33" t="n"/>
      <c r="H16" s="36">
        <f>AVERAGE(Paired!$P$2:$P$101)</f>
        <v/>
      </c>
      <c r="I16" s="2" t="inlineStr">
        <is>
          <t>LongCoT prompts list their subproblems: T_dec is a lower bound (prereg §12.2)</t>
        </is>
      </c>
    </row>
    <row r="17">
      <c r="A17" s="31" t="inlineStr">
        <is>
          <t>§5.5</t>
        </is>
      </c>
      <c r="B17" s="2" t="inlineStr">
        <is>
          <t>C_LLM ratio A1/B0 (geo-mean, template-weighted)</t>
        </is>
      </c>
      <c r="C17" s="32" t="n">
        <v>1.030079588910655</v>
      </c>
      <c r="D17" s="32" t="n"/>
      <c r="E17" s="32" t="n"/>
      <c r="F17" s="33" t="n">
        <v>99</v>
      </c>
      <c r="G17" s="33" t="n">
        <v>10</v>
      </c>
      <c r="H17" s="32" t="n"/>
      <c r="I17" s="2" t="inlineStr"/>
    </row>
    <row r="18">
      <c r="A18" s="31" t="inlineStr">
        <is>
          <t>§5.5</t>
        </is>
      </c>
      <c r="B18" s="2" t="inlineStr">
        <is>
          <t>C_Total ratio A1/B0 (geo-mean, template-weighted)</t>
        </is>
      </c>
      <c r="C18" s="32" t="n">
        <v>1.040702420766163</v>
      </c>
      <c r="D18" s="32" t="n"/>
      <c r="E18" s="32" t="n"/>
      <c r="F18" s="33" t="n">
        <v>99</v>
      </c>
      <c r="G18" s="33" t="n">
        <v>10</v>
      </c>
      <c r="H18" s="32" t="n"/>
      <c r="I18" s="2" t="inlineStr"/>
    </row>
    <row r="19">
      <c r="A19" s="31" t="inlineStr">
        <is>
          <t>§2 H2</t>
        </is>
      </c>
      <c r="B19" s="2" t="inlineStr">
        <is>
          <t>Spearman: template S vs replay (B0)</t>
        </is>
      </c>
      <c r="C19" s="37" t="n">
        <v>0.8666666666666667</v>
      </c>
      <c r="D19" s="37" t="n"/>
      <c r="E19" s="37" t="n"/>
      <c r="F19" s="33" t="n"/>
      <c r="G19" s="33" t="n">
        <v>10</v>
      </c>
      <c r="H19" s="37" t="n"/>
      <c r="I19" s="2" t="inlineStr">
        <is>
          <t>Descriptive only (10 templates)</t>
        </is>
      </c>
    </row>
    <row r="20">
      <c r="A20" s="31" t="inlineStr">
        <is>
          <t>§2 H2</t>
        </is>
      </c>
      <c r="B20" s="2" t="inlineStr">
        <is>
          <t>Spearman: template S vs N/D</t>
        </is>
      </c>
      <c r="C20" s="37" t="n">
        <v>0.8134898931211442</v>
      </c>
      <c r="D20" s="37" t="n"/>
      <c r="E20" s="37" t="n"/>
      <c r="F20" s="33" t="n"/>
      <c r="G20" s="33" t="n">
        <v>10</v>
      </c>
      <c r="H20" s="37" t="n"/>
      <c r="I20" s="2" t="inlineStr">
        <is>
          <t>Descriptive only</t>
        </is>
      </c>
    </row>
    <row r="21">
      <c r="A21" s="31" t="inlineStr">
        <is>
          <t>§6.1</t>
        </is>
      </c>
      <c r="B21" s="2" t="inlineStr">
        <is>
          <t>S, cold-start adjusted</t>
        </is>
      </c>
      <c r="C21" s="32" t="n">
        <v>1.282261414031231</v>
      </c>
      <c r="D21" s="32" t="n"/>
      <c r="E21" s="32" t="n"/>
      <c r="F21" s="33" t="n">
        <v>99</v>
      </c>
      <c r="G21" s="33" t="n">
        <v>10</v>
      </c>
      <c r="H21" s="32" t="n"/>
      <c r="I21" s="2" t="inlineStr"/>
    </row>
    <row r="22">
      <c r="A22" s="31" t="inlineStr">
        <is>
          <t>§6.2</t>
        </is>
      </c>
      <c r="B22" s="2" t="inlineStr">
        <is>
          <t>S without exposed tasks</t>
        </is>
      </c>
      <c r="C22" s="32" t="n">
        <v>1.314705446491721</v>
      </c>
      <c r="D22" s="32" t="n"/>
      <c r="E22" s="32" t="n"/>
      <c r="F22" s="33" t="n">
        <v>66</v>
      </c>
      <c r="G22" s="33" t="n">
        <v>8</v>
      </c>
      <c r="H22" s="32" t="n"/>
      <c r="I22" s="2" t="inlineStr">
        <is>
          <t>Drops most easy tasks: template mix changes</t>
        </is>
      </c>
    </row>
    <row r="23">
      <c r="A23" s="31" t="inlineStr">
        <is>
          <t>§6.2</t>
        </is>
      </c>
      <c r="B23" s="2" t="inlineStr">
        <is>
          <t>S without flagged-impossible tasks</t>
        </is>
      </c>
      <c r="C23" s="32" t="n">
        <v>1.29166581138441</v>
      </c>
      <c r="D23" s="32" t="n"/>
      <c r="E23" s="32" t="n"/>
      <c r="F23" s="33" t="n">
        <v>83</v>
      </c>
      <c r="G23" s="33" t="n">
        <v>10</v>
      </c>
      <c r="H23" s="32" t="n"/>
      <c r="I23" s="2" t="inlineStr"/>
    </row>
    <row r="24">
      <c r="A24" s="31" t="inlineStr">
        <is>
          <t>§6.2</t>
        </is>
      </c>
      <c r="B24" s="2" t="inlineStr">
        <is>
          <t>S without easy2-policy tasks</t>
        </is>
      </c>
      <c r="C24" s="32" t="n">
        <v>1.312731840650851</v>
      </c>
      <c r="D24" s="32" t="n"/>
      <c r="E24" s="32" t="n"/>
      <c r="F24" s="33" t="n">
        <v>84</v>
      </c>
      <c r="G24" s="33" t="n">
        <v>9</v>
      </c>
      <c r="H24" s="32" t="n"/>
      <c r="I24" s="2" t="inlineStr"/>
    </row>
    <row r="25">
      <c r="A25" s="31" t="inlineStr">
        <is>
          <t>§6.3</t>
        </is>
      </c>
      <c r="B25" s="2" t="inlineStr">
        <is>
          <t>S, B0-first tasks</t>
        </is>
      </c>
      <c r="C25" s="32" t="n">
        <v>1.35704524337821</v>
      </c>
      <c r="D25" s="32" t="n"/>
      <c r="E25" s="32" t="n"/>
      <c r="F25" s="33" t="n">
        <v>50</v>
      </c>
      <c r="G25" s="33" t="n">
        <v>10</v>
      </c>
      <c r="H25" s="32" t="n"/>
      <c r="I25" s="2" t="inlineStr">
        <is>
          <t>Order split 50/49; gap seen in both batches</t>
        </is>
      </c>
    </row>
    <row r="26">
      <c r="A26" s="31" t="inlineStr">
        <is>
          <t>§6.3</t>
        </is>
      </c>
      <c r="B26" s="2" t="inlineStr">
        <is>
          <t>S, A1-first tasks</t>
        </is>
      </c>
      <c r="C26" s="32" t="n">
        <v>1.245733129753232</v>
      </c>
      <c r="D26" s="32" t="n"/>
      <c r="E26" s="32" t="n"/>
      <c r="F26" s="33" t="n">
        <v>49</v>
      </c>
      <c r="G26" s="33" t="n">
        <v>10</v>
      </c>
      <c r="H26" s="32" t="n"/>
      <c r="I26" s="2" t="inlineStr"/>
    </row>
    <row r="27">
      <c r="A27" s="31" t="inlineStr">
        <is>
          <t>§6.4</t>
        </is>
      </c>
      <c r="B27" s="2" t="inlineStr">
        <is>
          <t>S, batch 1 (eval-b1)</t>
        </is>
      </c>
      <c r="C27" s="32" t="n">
        <v>1.273731496934961</v>
      </c>
      <c r="D27" s="32" t="n"/>
      <c r="E27" s="32" t="n"/>
      <c r="F27" s="33" t="n">
        <v>50</v>
      </c>
      <c r="G27" s="33" t="n">
        <v>10</v>
      </c>
      <c r="H27" s="32" t="n"/>
      <c r="I27" s="2" t="inlineStr"/>
    </row>
    <row r="28">
      <c r="A28" s="31" t="inlineStr">
        <is>
          <t>§6.4</t>
        </is>
      </c>
      <c r="B28" s="2" t="inlineStr">
        <is>
          <t>S, batch 2 (eval-b2)</t>
        </is>
      </c>
      <c r="C28" s="32" t="n">
        <v>1.29296876819967</v>
      </c>
      <c r="D28" s="32" t="n"/>
      <c r="E28" s="32" t="n"/>
      <c r="F28" s="33" t="n">
        <v>49</v>
      </c>
      <c r="G28" s="33" t="n">
        <v>10</v>
      </c>
      <c r="H28" s="32" t="n"/>
      <c r="I28" s="2" t="inlineStr"/>
    </row>
    <row r="29">
      <c r="A29" s="31" t="inlineStr">
        <is>
          <t>§6.5</t>
        </is>
      </c>
      <c r="B29" s="2" t="inlineStr">
        <is>
          <t>S, failed arm = time at failure</t>
        </is>
      </c>
      <c r="C29" s="32" t="n">
        <v>1.281053712918817</v>
      </c>
      <c r="D29" s="32" t="n"/>
      <c r="E29" s="32" t="n"/>
      <c r="F29" s="33" t="n">
        <v>100</v>
      </c>
      <c r="G29" s="33" t="n">
        <v>10</v>
      </c>
      <c r="H29" s="32" t="n"/>
      <c r="I29" s="2" t="inlineStr">
        <is>
          <t>Failed arms: easy2_17 A1</t>
        </is>
      </c>
    </row>
    <row r="30">
      <c r="A30" s="31" t="inlineStr">
        <is>
          <t>§6.6</t>
        </is>
      </c>
      <c r="B30" s="2" t="inlineStr">
        <is>
          <t>S without tasks with retries / 429 / unknown cost</t>
        </is>
      </c>
      <c r="C30" s="32" t="n">
        <v>1.28814631112154</v>
      </c>
      <c r="D30" s="32" t="n"/>
      <c r="E30" s="32" t="n"/>
      <c r="F30" s="33" t="n">
        <v>97</v>
      </c>
      <c r="G30" s="33" t="n">
        <v>10</v>
      </c>
      <c r="H30" s="32" t="n"/>
      <c r="I30" s="2" t="inlineStr">
        <is>
          <t>Drops: hard2_39, protein_1CRN_query_10_mask_4, easy2_17 (only tasks where both arms succeeded are in S)</t>
        </is>
      </c>
    </row>
    <row r="31">
      <c r="A31" s="31" t="inlineStr">
        <is>
          <t>§8</t>
        </is>
      </c>
      <c r="B31" s="2" t="inlineStr">
        <is>
          <t>S without tasks served by another model</t>
        </is>
      </c>
      <c r="C31" s="32" t="n">
        <v>1.28270297539381</v>
      </c>
      <c r="D31" s="32" t="n"/>
      <c r="E31" s="32" t="n"/>
      <c r="F31" s="33" t="n">
        <v>99</v>
      </c>
      <c r="G31" s="33" t="n">
        <v>10</v>
      </c>
      <c r="H31" s="32" t="n"/>
      <c r="I31" s="2" t="inlineStr">
        <is>
          <t>All calls served by openai/gpt-5.2</t>
        </is>
      </c>
    </row>
    <row r="32">
      <c r="A32" s="31" t="inlineStr">
        <is>
          <t>§7</t>
        </is>
      </c>
      <c r="B32" s="2" t="inlineStr">
        <is>
          <t>Accuracy B0 (correct / 100)</t>
        </is>
      </c>
      <c r="C32" s="35" t="n">
        <v>0.16</v>
      </c>
      <c r="D32" s="35" t="n"/>
      <c r="E32" s="35" t="n"/>
      <c r="F32" s="33" t="n">
        <v>100</v>
      </c>
      <c r="G32" s="33" t="n"/>
      <c r="H32" s="36">
        <f>Templates!T12/100</f>
        <v/>
      </c>
      <c r="I32" s="2" t="inlineStr">
        <is>
          <t>Descriptive only</t>
        </is>
      </c>
    </row>
    <row r="33">
      <c r="A33" s="31" t="inlineStr">
        <is>
          <t>§7</t>
        </is>
      </c>
      <c r="B33" s="2" t="inlineStr">
        <is>
          <t>Accuracy A1 (correct / 100)</t>
        </is>
      </c>
      <c r="C33" s="35" t="n">
        <v>0.15</v>
      </c>
      <c r="D33" s="35" t="n"/>
      <c r="E33" s="35" t="n"/>
      <c r="F33" s="33" t="n">
        <v>100</v>
      </c>
      <c r="G33" s="33" t="n"/>
      <c r="H33" s="36">
        <f>Templates!U12/100</f>
        <v/>
      </c>
      <c r="I33" s="2" t="inlineStr">
        <is>
          <t>Descriptive only; failed arm counts as incorrect</t>
        </is>
      </c>
    </row>
    <row r="34">
      <c r="A34" s="31" t="inlineStr">
        <is>
          <t>§7</t>
        </is>
      </c>
      <c r="B34" s="2" t="inlineStr">
        <is>
          <t>Tasks where the arms disagree on correctness</t>
        </is>
      </c>
      <c r="C34" s="39" t="n">
        <v>11</v>
      </c>
      <c r="D34" s="39" t="n"/>
      <c r="E34" s="39" t="n"/>
      <c r="F34" s="33" t="n">
        <v>100</v>
      </c>
      <c r="G34" s="33" t="n"/>
      <c r="H34" s="40">
        <f>Paired!X102</f>
        <v/>
      </c>
      <c r="I34" s="2" t="inlineStr"/>
    </row>
    <row r="36">
      <c r="B36" s="5" t="inlineStr">
        <is>
          <t>Source: data/cohort100_ab/analysis/eval.json (cohort100_ab_analyze.py, unchanged, --runs eval-b1 eval-b2 --decompose dec-1)</t>
        </is>
      </c>
    </row>
    <row r="37">
      <c r="B37" s="5" t="inlineStr">
        <is>
          <t>Workbook check = the same point estimate recomputed with formulas from the other sheets; blank where no simple formula equivalent exists (bootstrap CIs, replay aggregates, subset sensitivities).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70" customWidth="1" min="5" max="5"/>
  </cols>
  <sheetData>
    <row r="1" ht="45" customHeight="1">
      <c r="A1" s="4" t="inlineStr">
        <is>
          <t>Component</t>
        </is>
      </c>
      <c r="B1" s="4" t="inlineStr">
        <is>
          <t>B0 ($)</t>
        </is>
      </c>
      <c r="C1" s="4" t="inlineStr">
        <is>
          <t>A1 ($)</t>
        </is>
      </c>
      <c r="D1" s="4" t="inlineStr">
        <is>
          <t>A1 - B0 ($)</t>
        </is>
      </c>
      <c r="E1" s="4" t="inlineStr">
        <is>
          <t>Note</t>
        </is>
      </c>
    </row>
    <row r="2">
      <c r="A2" s="5" t="inlineStr">
        <is>
          <t>C_LLM (OpenRouter-reported)</t>
        </is>
      </c>
      <c r="B2" s="41">
        <f>SUMIFS('Arm results'!$AF$2:$AF$201,'Arm results'!$D$2:$D$201,"B0")</f>
        <v/>
      </c>
      <c r="C2" s="41">
        <f>SUMIFS('Arm results'!$AF$2:$AF$201,'Arm results'!$D$2:$D$201,"A1")</f>
        <v/>
      </c>
      <c r="D2" s="42">
        <f>C2-B2</f>
        <v/>
      </c>
      <c r="E2" s="5" t="inlineStr">
        <is>
          <t>Sum over the arm's 100 results, failed calls included</t>
        </is>
      </c>
    </row>
    <row r="3">
      <c r="A3" s="5" t="inlineStr">
        <is>
          <t>C_LLM (tokens x list price)</t>
        </is>
      </c>
      <c r="B3" s="41">
        <f>SUMIFS('Arm results'!$AC$2:$AC$201,'Arm results'!$D$2:$D$201,"B0")*$B$11+SUMIFS('Arm results'!$AD$2:$AD$201,'Arm results'!$D$2:$D$201,"B0")*$B$12</f>
        <v/>
      </c>
      <c r="C3" s="41">
        <f>SUMIFS('Arm results'!$AC$2:$AC$201,'Arm results'!$D$2:$D$201,"A1")*$B$11+SUMIFS('Arm results'!$AD$2:$AD$201,'Arm results'!$D$2:$D$201,"A1")*$B$12</f>
        <v/>
      </c>
      <c r="D3" s="42">
        <f>C3-B3</f>
        <v/>
      </c>
      <c r="E3" s="5" t="inlineStr">
        <is>
          <t>Reconciliation (§5.5). Arms where it differs from the reported cost: protein_1CRN_query_10_mask_4 B0 +$0.01714 (1 unknown-cost attempt(s)). Tokens of an unknown-cost attempt are counted; its cost is not reported.</t>
        </is>
      </c>
    </row>
    <row r="4">
      <c r="A4" s="5" t="inlineStr">
        <is>
          <t>C_Lambda (billed duration + requests)</t>
        </is>
      </c>
      <c r="B4" s="41">
        <f>SUMIFS('Arm results'!$AG$2:$AG$201,'Arm results'!$D$2:$D$201,"B0")</f>
        <v/>
      </c>
      <c r="C4" s="41">
        <f>SUMIFS('Arm results'!$AG$2:$AG$201,'Arm results'!$D$2:$D$201,"A1")</f>
        <v/>
      </c>
      <c r="D4" s="42">
        <f>C4-B4</f>
        <v/>
      </c>
      <c r="E4" s="5" t="inlineStr">
        <is>
          <t>A1 includes dependency-wait time</t>
        </is>
      </c>
    </row>
    <row r="5">
      <c r="A5" s="5" t="inlineStr">
        <is>
          <t>C_StepFunctions (state transitions)</t>
        </is>
      </c>
      <c r="B5" s="41">
        <f>SUMIFS('Arm results'!$AH$2:$AH$201,'Arm results'!$D$2:$D$201,"B0")</f>
        <v/>
      </c>
      <c r="C5" s="41">
        <f>SUMIFS('Arm results'!$AH$2:$AH$201,'Arm results'!$D$2:$D$201,"A1")</f>
        <v/>
      </c>
      <c r="D5" s="42">
        <f>C5-B5</f>
        <v/>
      </c>
      <c r="E5" s="5" t="inlineStr"/>
    </row>
    <row r="6">
      <c r="A6" s="5" t="inlineStr">
        <is>
          <t>C_Total</t>
        </is>
      </c>
      <c r="B6" s="41">
        <f>SUMIFS('Arm results'!$AI$2:$AI$201,'Arm results'!$D$2:$D$201,"B0")</f>
        <v/>
      </c>
      <c r="C6" s="41">
        <f>SUMIFS('Arm results'!$AI$2:$AI$201,'Arm results'!$D$2:$D$201,"A1")</f>
        <v/>
      </c>
      <c r="D6" s="42">
        <f>C6-B6</f>
        <v/>
      </c>
      <c r="E6" s="5" t="inlineStr">
        <is>
          <t>Excludes S3, CloudWatch, Secrets Manager, warm-up (prereg §13)</t>
        </is>
      </c>
    </row>
    <row r="7">
      <c r="A7" s="5" t="inlineStr">
        <is>
          <t>Dependency-wait Lambda seconds</t>
        </is>
      </c>
      <c r="B7" s="17">
        <f>SUMIFS('Arm results'!$V$2:$V$201,'Arm results'!$D$2:$D$201,"B0")</f>
        <v/>
      </c>
      <c r="C7" s="17">
        <f>SUMIFS('Arm results'!$V$2:$V$201,'Arm results'!$D$2:$D$201,"A1")</f>
        <v/>
      </c>
      <c r="D7" s="9">
        <f>C7-B7</f>
        <v/>
      </c>
      <c r="E7" s="5" t="inlineStr">
        <is>
          <t>Seconds, not dollars</t>
        </is>
      </c>
    </row>
    <row r="10">
      <c r="A10" s="13" t="inlineStr">
        <is>
          <t>Prices (prereg §9)</t>
        </is>
      </c>
    </row>
    <row r="11">
      <c r="A11" s="5" t="inlineStr">
        <is>
          <t>gpt-5.2 input ($/token)</t>
        </is>
      </c>
      <c r="B11" s="43" t="n">
        <v>1.75e-06</v>
      </c>
      <c r="C11" s="5" t="inlineStr">
        <is>
          <t>Source: pre-registration §9 (USD 1.75 / 14 per M tokens)</t>
        </is>
      </c>
    </row>
    <row r="12">
      <c r="A12" s="5" t="inlineStr">
        <is>
          <t>gpt-5.2 output ($/token)</t>
        </is>
      </c>
      <c r="B12" s="43" t="n">
        <v>1.4e-05</v>
      </c>
      <c r="C12" s="5" t="inlineStr">
        <is>
          <t>Source: pre-registration §9 (USD 1.75 / 14 per M tokens)</t>
        </is>
      </c>
    </row>
    <row r="14">
      <c r="A14" s="13" t="inlineStr">
        <is>
          <t>Evaluation spend, both batches, both arms</t>
        </is>
      </c>
      <c r="B14" s="44">
        <f>B6+C6</f>
        <v/>
      </c>
    </row>
    <row r="15">
      <c r="A15" s="13" t="inlineStr">
        <is>
          <t>T_dec spend (dec-1, provider-reported)</t>
        </is>
      </c>
      <c r="B15" s="45" t="n">
        <v>0.726271</v>
      </c>
      <c r="C15" s="5" t="inlineStr">
        <is>
          <t>Source: decompose/dec-1/rows.jsonl, successful calls (429 replies unbilled, D5)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2026-09-28T13:25:21Z</dcterms:created>
  <dcterms:modified xsi:type="dcterms:W3CDTF">2026-09-28T13:25:21Z</dcterms:modified>
</cp:coreProperties>
</file>